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9293FD7A-AD62-4C71-9E20-93B0B045F476}" xr6:coauthVersionLast="47" xr6:coauthVersionMax="47" xr10:uidLastSave="{00000000-0000-0000-0000-000000000000}"/>
  <bookViews>
    <workbookView xWindow="-108" yWindow="-108" windowWidth="23256" windowHeight="1389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<sst xmlns="http://schemas.openxmlformats.org/spreadsheetml/2006/main" count="3164" uniqueCount="87">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</sst>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1" fillId="25" borderId="0" xfId="0" applyFont="1" applyFill="1" applyAlignment="1" applyProtection="1">
      <alignment horizontal="center" vertical="center"/>
      <protection locked="0"/>
    </xf>
    <xf numFmtId="0" fontId="1" fillId="21" borderId="0" xfId="0" applyFont="1" applyFill="1" applyAlignment="1" applyProtection="1">
      <alignment horizontal="center" vertical="center"/>
      <protection locked="0"/>
    </xf>
    <xf numFmtId="0" fontId="5" fillId="23" borderId="9" xfId="0" applyFont="1" applyFill="1" applyBorder="1" applyAlignment="1" applyProtection="1">
      <alignment horizontal="center" vertical="center"/>
      <protection locked="0"/>
    </xf>
    <xf numFmtId="14" fontId="6" fillId="19" borderId="22" xfId="0" applyNumberFormat="1" applyFont="1" applyFill="1" applyBorder="1" applyAlignment="1" applyProtection="1">
      <alignment horizontal="center" vertical="center"/>
      <protection locked="0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abSelected="1" zoomScale="115" zoomScaleNormal="115" workbookViewId="0">
      <selection activeCell="J68" sqref="J68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8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6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6"/>
      <c r="B5" s="7">
        <v>46185</v>
      </c>
      <c r="C5" s="8">
        <v>0.16666666666666666</v>
      </c>
      <c r="D5" s="9" t="s">
        <v>8</v>
      </c>
      <c r="E5" s="6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6"/>
      <c r="B6" s="7">
        <v>46191</v>
      </c>
      <c r="C6" s="8">
        <v>0.75</v>
      </c>
      <c r="D6" s="9" t="s">
        <v>13</v>
      </c>
      <c r="E6" s="61" t="s">
        <v>12</v>
      </c>
      <c r="F6" s="66">
        <v>1</v>
      </c>
      <c r="G6" s="66">
        <v>1</v>
      </c>
      <c r="H6" s="61" t="s">
        <v>10</v>
      </c>
    </row>
    <row r="7" spans="1:8" ht="16.2" thickBot="1" x14ac:dyDescent="0.35">
      <c r="A7" s="96"/>
      <c r="B7" s="7">
        <v>46192</v>
      </c>
      <c r="C7" s="8">
        <v>0.125</v>
      </c>
      <c r="D7" s="9" t="s">
        <v>13</v>
      </c>
      <c r="E7" s="67" t="s">
        <v>9</v>
      </c>
      <c r="F7" s="66">
        <v>1</v>
      </c>
      <c r="G7" s="66">
        <v>0</v>
      </c>
      <c r="H7" s="20" t="s">
        <v>11</v>
      </c>
    </row>
    <row r="8" spans="1:8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66">
        <v>0</v>
      </c>
      <c r="G8" s="66">
        <v>3</v>
      </c>
      <c r="H8" s="67" t="s">
        <v>9</v>
      </c>
    </row>
    <row r="9" spans="1:8" ht="16.2" thickBot="1" x14ac:dyDescent="0.35">
      <c r="A9" s="97"/>
      <c r="B9" s="12">
        <v>46198</v>
      </c>
      <c r="C9" s="13">
        <v>0.125</v>
      </c>
      <c r="D9" s="14" t="s">
        <v>14</v>
      </c>
      <c r="E9" s="67" t="s">
        <v>10</v>
      </c>
      <c r="F9" s="66">
        <v>1</v>
      </c>
      <c r="G9" s="66">
        <v>0</v>
      </c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99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99"/>
      <c r="B14" s="7">
        <v>46191</v>
      </c>
      <c r="C14" s="8">
        <v>0.875</v>
      </c>
      <c r="D14" s="9" t="s">
        <v>13</v>
      </c>
      <c r="E14" s="27" t="s">
        <v>19</v>
      </c>
      <c r="F14" s="66">
        <v>4</v>
      </c>
      <c r="G14" s="66">
        <v>1</v>
      </c>
      <c r="H14" s="21" t="s">
        <v>17</v>
      </c>
    </row>
    <row r="15" spans="1:8" ht="16.2" thickBot="1" x14ac:dyDescent="0.35">
      <c r="A15" s="99"/>
      <c r="B15" s="7">
        <v>46192</v>
      </c>
      <c r="C15" s="8">
        <v>0</v>
      </c>
      <c r="D15" s="9" t="s">
        <v>13</v>
      </c>
      <c r="E15" s="27" t="s">
        <v>16</v>
      </c>
      <c r="F15" s="66">
        <v>6</v>
      </c>
      <c r="G15" s="66">
        <v>0</v>
      </c>
      <c r="H15" s="21" t="s">
        <v>18</v>
      </c>
    </row>
    <row r="16" spans="1:8" ht="16.2" thickBot="1" x14ac:dyDescent="0.35">
      <c r="A16" s="99"/>
      <c r="B16" s="7">
        <v>46197</v>
      </c>
      <c r="C16" s="8">
        <v>0.875</v>
      </c>
      <c r="D16" s="9" t="s">
        <v>14</v>
      </c>
      <c r="E16" s="27" t="s">
        <v>19</v>
      </c>
      <c r="F16" s="66">
        <v>2</v>
      </c>
      <c r="G16" s="66">
        <v>1</v>
      </c>
      <c r="H16" s="21" t="s">
        <v>16</v>
      </c>
    </row>
    <row r="17" spans="1:8" ht="16.2" thickBot="1" x14ac:dyDescent="0.35">
      <c r="A17" s="100"/>
      <c r="B17" s="12">
        <v>46197</v>
      </c>
      <c r="C17" s="13">
        <v>0.875</v>
      </c>
      <c r="D17" s="14" t="s">
        <v>14</v>
      </c>
      <c r="E17" s="27" t="s">
        <v>17</v>
      </c>
      <c r="F17" s="66">
        <v>3</v>
      </c>
      <c r="G17" s="66">
        <v>1</v>
      </c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67" t="s">
        <v>24</v>
      </c>
    </row>
    <row r="22" spans="1:8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66">
        <v>0</v>
      </c>
      <c r="G22" s="66">
        <v>1</v>
      </c>
      <c r="H22" s="67" t="s">
        <v>22</v>
      </c>
    </row>
    <row r="23" spans="1:8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27" t="s">
        <v>21</v>
      </c>
      <c r="F23" s="66">
        <v>3</v>
      </c>
      <c r="G23" s="66">
        <v>0</v>
      </c>
      <c r="H23" s="21" t="s">
        <v>23</v>
      </c>
    </row>
    <row r="24" spans="1:8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66">
        <v>0</v>
      </c>
      <c r="G24" s="66">
        <v>3</v>
      </c>
      <c r="H24" s="21" t="s">
        <v>21</v>
      </c>
    </row>
    <row r="25" spans="1:8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66">
        <v>4</v>
      </c>
      <c r="G25" s="66">
        <v>2</v>
      </c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5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5"/>
      <c r="B30" s="7">
        <v>46192</v>
      </c>
      <c r="C30" s="8">
        <v>0.875</v>
      </c>
      <c r="D30" s="9" t="s">
        <v>13</v>
      </c>
      <c r="E30" s="27" t="s">
        <v>26</v>
      </c>
      <c r="F30" s="66">
        <v>2</v>
      </c>
      <c r="G30" s="66">
        <v>0</v>
      </c>
      <c r="H30" s="21" t="s">
        <v>28</v>
      </c>
    </row>
    <row r="31" spans="1:8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66">
        <v>0</v>
      </c>
      <c r="G31" s="66">
        <v>1</v>
      </c>
      <c r="H31" s="67" t="s">
        <v>27</v>
      </c>
    </row>
    <row r="32" spans="1:8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27" t="s">
        <v>31</v>
      </c>
      <c r="F38" s="62">
        <v>2</v>
      </c>
      <c r="G38" s="62">
        <v>1</v>
      </c>
      <c r="H38" s="21" t="s">
        <v>33</v>
      </c>
    </row>
    <row r="39" spans="1:8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61" t="s">
        <v>34</v>
      </c>
      <c r="F39" s="62">
        <v>0</v>
      </c>
      <c r="G39" s="62">
        <v>0</v>
      </c>
      <c r="H39" s="61" t="s">
        <v>32</v>
      </c>
    </row>
    <row r="40" spans="1:8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78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27" t="s">
        <v>36</v>
      </c>
      <c r="F46" s="62">
        <v>5</v>
      </c>
      <c r="G46" s="62">
        <v>1</v>
      </c>
      <c r="H46" s="21" t="s">
        <v>38</v>
      </c>
    </row>
    <row r="47" spans="1:8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66">
        <v>0</v>
      </c>
      <c r="G47" s="66">
        <v>4</v>
      </c>
      <c r="H47" s="67" t="s">
        <v>37</v>
      </c>
    </row>
    <row r="48" spans="1:8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1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1"/>
      <c r="B54" s="7">
        <v>46194</v>
      </c>
      <c r="C54" s="8">
        <v>0.875</v>
      </c>
      <c r="D54" s="9" t="s">
        <v>13</v>
      </c>
      <c r="E54" s="61" t="s">
        <v>41</v>
      </c>
      <c r="F54" s="63">
        <v>0</v>
      </c>
      <c r="G54" s="63">
        <v>0</v>
      </c>
      <c r="H54" s="61" t="s">
        <v>43</v>
      </c>
    </row>
    <row r="55" spans="1:8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63">
        <v>1</v>
      </c>
      <c r="G55" s="63">
        <v>3</v>
      </c>
      <c r="H55" s="67" t="s">
        <v>42</v>
      </c>
    </row>
    <row r="56" spans="1:8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4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4"/>
      <c r="B62" s="7">
        <v>46194</v>
      </c>
      <c r="C62" s="8">
        <v>0.75</v>
      </c>
      <c r="D62" s="9" t="s">
        <v>13</v>
      </c>
      <c r="E62" s="27" t="s">
        <v>46</v>
      </c>
      <c r="F62" s="66">
        <v>4</v>
      </c>
      <c r="G62" s="66">
        <v>0</v>
      </c>
      <c r="H62" s="21" t="s">
        <v>48</v>
      </c>
    </row>
    <row r="63" spans="1:8" ht="16.2" thickBot="1" x14ac:dyDescent="0.35">
      <c r="A63" s="84"/>
      <c r="B63" s="7">
        <v>46195</v>
      </c>
      <c r="C63" s="8">
        <v>0</v>
      </c>
      <c r="D63" s="9" t="s">
        <v>13</v>
      </c>
      <c r="E63" s="61" t="s">
        <v>49</v>
      </c>
      <c r="F63" s="66">
        <v>2</v>
      </c>
      <c r="G63" s="66">
        <v>2</v>
      </c>
      <c r="H63" s="61" t="s">
        <v>47</v>
      </c>
    </row>
    <row r="64" spans="1:8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67" t="s">
        <v>54</v>
      </c>
    </row>
    <row r="70" spans="1:8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67" t="s">
        <v>51</v>
      </c>
      <c r="F70" s="66">
        <v>3</v>
      </c>
      <c r="G70" s="66">
        <v>0</v>
      </c>
      <c r="H70" s="21" t="s">
        <v>53</v>
      </c>
    </row>
    <row r="71" spans="1:8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67" t="s">
        <v>54</v>
      </c>
      <c r="F71" s="66">
        <v>3</v>
      </c>
      <c r="G71" s="62">
        <v>2</v>
      </c>
      <c r="H71" s="21" t="s">
        <v>52</v>
      </c>
    </row>
    <row r="72" spans="1:8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90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27" t="s">
        <v>56</v>
      </c>
      <c r="F78" s="62">
        <v>2</v>
      </c>
      <c r="G78" s="62">
        <v>0</v>
      </c>
      <c r="H78" s="21" t="s">
        <v>58</v>
      </c>
    </row>
    <row r="79" spans="1:8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62">
        <v>1</v>
      </c>
      <c r="G79" s="62">
        <v>2</v>
      </c>
      <c r="H79" s="67" t="s">
        <v>57</v>
      </c>
    </row>
    <row r="80" spans="1:8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62">
        <v>1</v>
      </c>
      <c r="G85" s="62">
        <v>3</v>
      </c>
      <c r="H85" s="67" t="s">
        <v>64</v>
      </c>
    </row>
    <row r="86" spans="1:8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62">
        <v>5</v>
      </c>
      <c r="G86" s="62">
        <v>0</v>
      </c>
      <c r="H86" s="21" t="s">
        <v>63</v>
      </c>
    </row>
    <row r="87" spans="1:8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62">
        <v>1</v>
      </c>
      <c r="G87" s="62">
        <v>0</v>
      </c>
      <c r="H87" s="21" t="s">
        <v>62</v>
      </c>
    </row>
    <row r="88" spans="1:8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62">
        <v>4</v>
      </c>
      <c r="G92" s="62">
        <v>2</v>
      </c>
      <c r="H92" s="21" t="s">
        <v>67</v>
      </c>
    </row>
    <row r="93" spans="1:8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27" t="s">
        <v>68</v>
      </c>
      <c r="F93" s="62">
        <v>1</v>
      </c>
      <c r="G93" s="62">
        <v>0</v>
      </c>
      <c r="H93" s="21" t="s">
        <v>69</v>
      </c>
    </row>
    <row r="94" spans="1:8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61" t="s">
        <v>66</v>
      </c>
      <c r="F94" s="62">
        <v>0</v>
      </c>
      <c r="G94" s="62">
        <v>0</v>
      </c>
      <c r="H94" s="61" t="s">
        <v>68</v>
      </c>
    </row>
    <row r="95" spans="1:8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62">
        <v>0</v>
      </c>
      <c r="G95" s="62">
        <v>1</v>
      </c>
      <c r="H95" s="67" t="s">
        <v>67</v>
      </c>
    </row>
    <row r="96" spans="1:8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H9" sqref="H9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110" t="s">
        <v>74</v>
      </c>
      <c r="E1" s="111"/>
      <c r="F1" s="112"/>
    </row>
    <row r="2" spans="1:6" x14ac:dyDescent="0.3">
      <c r="D2" s="113" t="s">
        <v>75</v>
      </c>
      <c r="E2" s="114"/>
      <c r="F2" s="115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36</v>
      </c>
      <c r="D5" s="59">
        <v>1</v>
      </c>
      <c r="E5" s="59" t="str" cm="1">
        <f t="array" ref="E5:F13">_xlfn._xlws.SORT(A5:B13,2,-1)</f>
        <v>Bere</v>
      </c>
      <c r="F5" s="59">
        <v>40</v>
      </c>
    </row>
    <row r="6" spans="1:6" x14ac:dyDescent="0.3">
      <c r="A6" s="58" t="s">
        <v>77</v>
      </c>
      <c r="B6" s="58">
        <f>Wendy!L4</f>
        <v>31</v>
      </c>
      <c r="D6" s="55">
        <v>2</v>
      </c>
      <c r="E6" s="55" t="str">
        <v>Jimmy</v>
      </c>
      <c r="F6" s="55">
        <v>38</v>
      </c>
    </row>
    <row r="7" spans="1:6" x14ac:dyDescent="0.3">
      <c r="A7" s="58" t="s">
        <v>79</v>
      </c>
      <c r="B7" s="58">
        <f>Jimmy!L4</f>
        <v>38</v>
      </c>
      <c r="D7" s="56">
        <v>3</v>
      </c>
      <c r="E7" s="56" t="str">
        <v>Packy</v>
      </c>
      <c r="F7" s="56">
        <v>37</v>
      </c>
    </row>
    <row r="8" spans="1:6" x14ac:dyDescent="0.3">
      <c r="A8" s="58" t="s">
        <v>81</v>
      </c>
      <c r="B8" s="58">
        <f>Erick!L4</f>
        <v>30</v>
      </c>
      <c r="D8" s="28">
        <v>4</v>
      </c>
      <c r="E8" s="28" t="str">
        <v>Cindy</v>
      </c>
      <c r="F8" s="28">
        <v>36</v>
      </c>
    </row>
    <row r="9" spans="1:6" x14ac:dyDescent="0.3">
      <c r="A9" s="58" t="s">
        <v>82</v>
      </c>
      <c r="B9" s="58">
        <f>Erik!L4</f>
        <v>36</v>
      </c>
      <c r="D9" s="28">
        <v>5</v>
      </c>
      <c r="E9" s="28" t="str">
        <v>Erik</v>
      </c>
      <c r="F9" s="28">
        <v>36</v>
      </c>
    </row>
    <row r="10" spans="1:6" x14ac:dyDescent="0.3">
      <c r="A10" s="58" t="s">
        <v>83</v>
      </c>
      <c r="B10" s="58">
        <f>Lennon!L4</f>
        <v>29</v>
      </c>
      <c r="D10" s="28">
        <v>6</v>
      </c>
      <c r="E10" s="28" t="str">
        <v>Wendy</v>
      </c>
      <c r="F10" s="28">
        <v>31</v>
      </c>
    </row>
    <row r="11" spans="1:6" x14ac:dyDescent="0.3">
      <c r="A11" s="58" t="s">
        <v>84</v>
      </c>
      <c r="B11" s="58">
        <f>Yulian!L4</f>
        <v>30</v>
      </c>
      <c r="D11" s="28">
        <v>7</v>
      </c>
      <c r="E11" s="28" t="str">
        <v>Erick</v>
      </c>
      <c r="F11" s="28">
        <v>30</v>
      </c>
    </row>
    <row r="12" spans="1:6" x14ac:dyDescent="0.3">
      <c r="A12" s="58" t="s">
        <v>78</v>
      </c>
      <c r="B12" s="58">
        <f>Packy!L4</f>
        <v>37</v>
      </c>
      <c r="D12" s="28">
        <v>8</v>
      </c>
      <c r="E12" s="28" t="str">
        <v>Yulian</v>
      </c>
      <c r="F12" s="28">
        <v>30</v>
      </c>
    </row>
    <row r="13" spans="1:6" x14ac:dyDescent="0.3">
      <c r="A13" s="58" t="s">
        <v>80</v>
      </c>
      <c r="B13" s="58">
        <f>Bere!L4</f>
        <v>40</v>
      </c>
      <c r="D13" s="28">
        <v>9</v>
      </c>
      <c r="E13" s="28" t="str">
        <v>Lennon</v>
      </c>
      <c r="F13" s="28">
        <v>29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81" zoomScaleNormal="100" workbookViewId="0">
      <selection activeCell="H56" sqref="H56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43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36</v>
      </c>
    </row>
    <row r="5" spans="1:12" ht="16.2" thickBot="1" x14ac:dyDescent="0.35">
      <c r="A5" s="144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4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44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44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45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46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7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7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47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47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65">
        <f>IF(OR(Resultados!F16="",Resultados!G16=""),"",IF(AND(F16=Resultados!F16,G16=Resultados!G16),2,IF(((F16&gt;G16)=(Resultados!F16&gt;Resultados!G16))*((F16&lt;G16)=(Resultados!F16&lt;Resultados!G16)),1,0)))</f>
        <v>1</v>
      </c>
    </row>
    <row r="17" spans="1:10" ht="16.2" thickBot="1" x14ac:dyDescent="0.35">
      <c r="A17" s="148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49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50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50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50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50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51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40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41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41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41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41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42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22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23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23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23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23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4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25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6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6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126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26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7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28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9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29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129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129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30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31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2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2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32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32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33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34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35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5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135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35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6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37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38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8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138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65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138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9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16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7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7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117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117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8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19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20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20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120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120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1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75" zoomScaleNormal="100" workbookViewId="0">
      <selection activeCell="J95" sqref="J95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43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31</v>
      </c>
    </row>
    <row r="5" spans="1:12" ht="16.2" thickBot="1" x14ac:dyDescent="0.35">
      <c r="A5" s="144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4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144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144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145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46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7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7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147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147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48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49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50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50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>
        <f>IF(OR(Resultados!F22="",Resultados!G22=""),"",IF(AND(F22=Resultados!F22,G22=Resultados!G22),2,IF(((F22&gt;G22)=(Resultados!F22&gt;Resultados!G22))*((F22&lt;G22)=(Resultados!F22&lt;Resultados!G22)),1,0)))</f>
        <v>0</v>
      </c>
    </row>
    <row r="23" spans="1:10" ht="16.2" thickBot="1" x14ac:dyDescent="0.35">
      <c r="A23" s="150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50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51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>
        <f>IF(OR(Resultados!F25="",Resultados!G25=""),"",IF(AND(F25=Resultados!F25,G25=Resultados!G25),2,IF(((F25&gt;G25)=(Resultados!F25&gt;Resultados!G25))*((F25&lt;G25)=(Resultados!F25&lt;Resultados!G25)),1,0)))</f>
        <v>0</v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40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41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41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41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64">
        <f>IF(OR(Resultados!F31="",Resultados!G31=""),"",IF(AND(F31=Resultados!F31,G31=Resultados!G31),2,IF(((F31&gt;G31)=(Resultados!F31&gt;Resultados!G31))*((F31&lt;G31)=(Resultados!F31&lt;Resultados!G31)),1,0)))</f>
        <v>2</v>
      </c>
    </row>
    <row r="32" spans="1:10" ht="16.2" thickBot="1" x14ac:dyDescent="0.35">
      <c r="A32" s="141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42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22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23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23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23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23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4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25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6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6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126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126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7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28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9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29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129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>
        <f>IF(OR(Resultados!F55="",Resultados!G55=""),"",IF(AND(F55=Resultados!F55,G55=Resultados!G55),2,IF(((F55&gt;G55)=(Resultados!F55&gt;Resultados!G55))*((F55&lt;G55)=(Resultados!F55&lt;Resultados!G55)),1,0)))</f>
        <v>0</v>
      </c>
    </row>
    <row r="56" spans="1:10" ht="16.2" thickBot="1" x14ac:dyDescent="0.35">
      <c r="A56" s="129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30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31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32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32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132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132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33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34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35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5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135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135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6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37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38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8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138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138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9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16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7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117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117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117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8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19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20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20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120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>
        <f>IF(OR(Resultados!F95="",Resultados!G95=""),"",IF(AND(F95=Resultados!F95,G95=Resultados!G95),2,IF(((F95&gt;G95)=(Resultados!F95&gt;Resultados!G95))*((F95&lt;G95)=(Resultados!F95&lt;Resultados!G95)),1,0)))</f>
        <v>0</v>
      </c>
    </row>
    <row r="96" spans="1:10" ht="16.2" thickBot="1" x14ac:dyDescent="0.35">
      <c r="A96" s="120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1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58" zoomScaleNormal="100" workbookViewId="0">
      <selection activeCell="E78" sqref="E78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37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64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65">
        <f>IF(OR(Resultados!F94="",Resultados!G94=""),"",IF(AND(F94=Resultados!F94,G94=Resultados!G94),2,IF(((F94&gt;G94)=(Resultados!F94&gt;Resultados!G94))*((F94&lt;G94)=(Resultados!F94&lt;Resultados!G94)),1,0)))</f>
        <v>1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64">
        <f>IF(OR(Resultados!F95="",Resultados!G95=""),"",IF(AND(F95=Resultados!F95,G95=Resultados!G95),2,IF(((F95&gt;G95)=(Resultados!F95&gt;Resultados!G95))*((F95&lt;G95)=(Resultados!F95&lt;Resultados!G95)),1,0)))</f>
        <v>2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zoomScaleNormal="100" workbookViewId="0">
      <selection activeCell="L94" sqref="L9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38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64">
        <f>IF(OR(Resultados!F16="",Resultados!G16=""),"",IF(AND(F16=Resultados!F16,G16=Resultados!G16),2,IF(((F16&gt;G16)=(Resultados!F16&gt;Resultados!G16))*((F16&lt;G16)=(Resultados!F16&lt;Resultados!G16)),1,0)))</f>
        <v>2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64">
        <f>IF(OR(Resultados!F22="",Resultados!G22=""),"",IF(AND(F22=Resultados!F22,G22=Resultados!G22),2,IF(((F22&gt;G22)=(Resultados!F22&gt;Resultados!G22))*((F22&lt;G22)=(Resultados!F22&lt;Resultados!G22)),1,0)))</f>
        <v>2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64">
        <f>IF(OR(Resultados!F24="",Resultados!G24=""),"",IF(AND(F24=Resultados!F24,G24=Resultados!G24),2,IF(((F24&gt;G24)=(Resultados!F24&gt;Resultados!G24))*((F24&lt;G24)=(Resultados!F24&lt;Resultados!G24)),1,0)))</f>
        <v>2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zoomScaleNormal="100" workbookViewId="0">
      <selection activeCell="L90" sqref="L9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40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66">
        <v>3</v>
      </c>
      <c r="G6" s="66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66">
        <v>1</v>
      </c>
      <c r="G7" s="66">
        <v>1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66">
        <v>1</v>
      </c>
      <c r="G14" s="66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66">
        <v>2</v>
      </c>
      <c r="G15" s="66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62">
        <v>1</v>
      </c>
      <c r="G21" s="62">
        <v>3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64">
        <f>IF(OR(Resultados!F23="",Resultados!G23=""),"",IF(AND(F23=Resultados!F23,G23=Resultados!G23),2,IF(((F23&gt;G23)=(Resultados!F23&gt;Resultados!G23))*((F23&lt;G23)=(Resultados!F23&lt;Resultados!G23)),1,0)))</f>
        <v>2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4</v>
      </c>
      <c r="G38" s="25">
        <v>2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1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3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4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1</v>
      </c>
      <c r="G55" s="25">
        <v>3</v>
      </c>
      <c r="H55" s="21" t="s">
        <v>42</v>
      </c>
      <c r="J55" s="64">
        <f>IF(OR(Resultados!F55="",Resultados!G55=""),"",IF(AND(F55=Resultados!F55,G55=Resultados!G55),2,IF(((F55&gt;G55)=(Resultados!F55&gt;Resultados!G55))*((F55&lt;G55)=(Resultados!F55&lt;Resultados!G55)),1,0)))</f>
        <v>2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4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1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64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64">
        <f>IF(OR(Resultados!F70="",Resultados!G70=""),"",IF(AND(F70=Resultados!F70,G70=Resultados!G70),2,IF(((F70&gt;G70)=(Resultados!F70&gt;Resultados!G70))*((F70&lt;G70)=(Resultados!F70&lt;Resultados!G70)),1,0)))</f>
        <v>2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0</v>
      </c>
      <c r="G79" s="25">
        <v>2</v>
      </c>
      <c r="H79" s="21" t="s">
        <v>57</v>
      </c>
      <c r="J79" s="65">
        <f>IF(OR(Resultados!F79="",Resultados!G79=""),"",IF(AND(F79=Resultados!F79,G79=Resultados!G79),2,IF(((F79&gt;G79)=(Resultados!F79&gt;Resultados!G79))*((F79&lt;G79)=(Resultados!F79&lt;Resultados!G79)),1,0)))</f>
        <v>1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2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64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3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1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zoomScaleNormal="100" workbookViewId="0">
      <selection activeCell="M13" sqref="M1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30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65">
        <f>IF(OR(Resultados!F17="",Resultados!G17=""),"",IF(AND(F17=Resultados!F17,G17=Resultados!G17),2,IF(((F17&gt;G17)=(Resultados!F17&gt;Resultados!G17))*((F17&lt;G17)=(Resultados!F17&lt;Resultados!G17)),1,0)))</f>
        <v>1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64">
        <f>IF(OR(Resultados!F24="",Resultados!G24=""),"",IF(AND(F24=Resultados!F24,G24=Resultados!G24),2,IF(((F24&gt;G24)=(Resultados!F24&gt;Resultados!G24))*((F24&lt;G24)=(Resultados!F24&lt;Resultados!G24)),1,0)))</f>
        <v>2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64">
        <f>IF(OR(Resultados!F38="",Resultados!G38=""),"",IF(AND(F38=Resultados!F38,G38=Resultados!G38),2,IF(((F38&gt;G38)=(Resultados!F38&gt;Resultados!G38))*((F38&lt;G38)=(Resultados!F38&lt;Resultados!G38)),1,0)))</f>
        <v>2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65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>
        <f>IF(OR(Resultados!F46="",Resultados!G46=""),"",IF(AND(F46=Resultados!F46,G46=Resultados!G46),2,IF(((F46&gt;G46)=(Resultados!F46&gt;Resultados!G46))*((F46&lt;G46)=(Resultados!F46&lt;Resultados!G46)),1,0)))</f>
        <v>0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65">
        <f>IF(OR(Resultados!F54="",Resultados!G54=""),"",IF(AND(F54=Resultados!F54,G54=Resultados!G54),2,IF(((F54&gt;G54)=(Resultados!F54&gt;Resultados!G54))*((F54&lt;G54)=(Resultados!F54&lt;Resultados!G54)),1,0)))</f>
        <v>1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65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zoomScaleNormal="100" workbookViewId="0">
      <selection activeCell="L14" sqref="L14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36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64">
        <f>IF(OR(Resultados!F6="",Resultados!G6=""),"",IF(AND(F6=Resultados!F6,G6=Resultados!G6),2,IF(((F6&gt;G6)=(Resultados!F6&gt;Resultados!G6))*((F6&lt;G6)=(Resultados!F6&lt;Resultados!G6)),1,0)))</f>
        <v>2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65">
        <f>IF(OR(Resultados!F7="",Resultados!G7=""),"",IF(AND(F7=Resultados!F7,G7=Resultados!G7),2,IF(((F7&gt;G7)=(Resultados!F7&gt;Resultados!G7))*((F7&lt;G7)=(Resultados!F7&lt;Resultados!G7)),1,0)))</f>
        <v>1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>
        <f>IF(OR(Resultados!F8="",Resultados!G8=""),"",IF(AND(F8=Resultados!F8,G8=Resultados!G8),2,IF(((F8&gt;G8)=(Resultados!F8&gt;Resultados!G8))*((F8&lt;G8)=(Resultados!F8&lt;Resultados!G8)),1,0)))</f>
        <v>0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65">
        <f>IF(OR(Resultados!F14="",Resultados!G14=""),"",IF(AND(F14=Resultados!F14,G14=Resultados!G14),2,IF(((F14&gt;G14)=(Resultados!F14&gt;Resultados!G14))*((F14&lt;G14)=(Resultados!F14&lt;Resultados!G14)),1,0)))</f>
        <v>1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65">
        <f>IF(OR(Resultados!F15="",Resultados!G15=""),"",IF(AND(F15=Resultados!F15,G15=Resultados!G15),2,IF(((F15&gt;G15)=(Resultados!F15&gt;Resultados!G15))*((F15&lt;G15)=(Resultados!F15&lt;Resultados!G15)),1,0)))</f>
        <v>1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64">
        <f>IF(OR(Resultados!F16="",Resultados!G16=""),"",IF(AND(F16=Resultados!F16,G16=Resultados!G16),2,IF(((F16&gt;G16)=(Resultados!F16&gt;Resultados!G16))*((F16&lt;G16)=(Resultados!F16&lt;Resultados!G16)),1,0)))</f>
        <v>2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65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65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65">
        <f>IF(OR(Resultados!F31="",Resultados!G31=""),"",IF(AND(F31=Resultados!F31,G31=Resultados!G31),2,IF(((F31&gt;G31)=(Resultados!F31&gt;Resultados!G31))*((F31&lt;G31)=(Resultados!F31&lt;Resultados!G31)),1,0)))</f>
        <v>1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64">
        <f>IF(OR(Resultados!F85="",Resultados!G85=""),"",IF(AND(F85=Resultados!F85,G85=Resultados!G85),2,IF(((F85&gt;G85)=(Resultados!F85&gt;Resultados!G85))*((F85&lt;G85)=(Resultados!F85&lt;Resultados!G85)),1,0)))</f>
        <v>2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zoomScaleNormal="100" workbookViewId="0">
      <selection activeCell="N11" sqref="N11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29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64">
        <f>IF(OR(Resultados!F30="",Resultados!G30=""),"",IF(AND(F30=Resultados!F30,G30=Resultados!G30),2,IF(((F30&gt;G30)=(Resultados!F30&gt;Resultados!G30))*((F30&lt;G30)=(Resultados!F30&lt;Resultados!G30)),1,0)))</f>
        <v>2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>
        <f>IF(OR(Resultados!F38="",Resultados!G38=""),"",IF(AND(F38=Resultados!F38,G38=Resultados!G38),2,IF(((F38&gt;G38)=(Resultados!F38&gt;Resultados!G38))*((F38&lt;G38)=(Resultados!F38&lt;Resultados!G38)),1,0)))</f>
        <v>0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>
        <f>IF(OR(Resultados!F39="",Resultados!G39=""),"",IF(AND(F39=Resultados!F39,G39=Resultados!G39),2,IF(((F39&gt;G39)=(Resultados!F39&gt;Resultados!G39))*((F39&lt;G39)=(Resultados!F39&lt;Resultados!G39)),1,0)))</f>
        <v>0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64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65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65">
        <f>IF(OR(Resultados!F47="",Resultados!G47=""),"",IF(AND(F47=Resultados!F47,G47=Resultados!G47),2,IF(((F47&gt;G47)=(Resultados!F47&gt;Resultados!G47))*((F47&lt;G47)=(Resultados!F47&lt;Resultados!G47)),1,0)))</f>
        <v>1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>
        <f>IF(OR(Resultados!F71="",Resultados!G71=""),"",IF(AND(F71=Resultados!F71,G71=Resultados!G71),2,IF(((F71&gt;G71)=(Resultados!F71&gt;Resultados!G71))*((F71&lt;G71)=(Resultados!F71&lt;Resultados!G71)),1,0)))</f>
        <v>0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64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64">
        <f>IF(OR(Resultados!F78="",Resultados!G78=""),"",IF(AND(F78=Resultados!F78,G78=Resultados!G78),2,IF(((F78&gt;G78)=(Resultados!F78&gt;Resultados!G78))*((F78&lt;G78)=(Resultados!F78&lt;Resultados!G78)),1,0)))</f>
        <v>2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65">
        <f>IF(OR(Resultados!F87="",Resultados!G87=""),"",IF(AND(F87=Resultados!F87,G87=Resultados!G87),2,IF(((F87&gt;G87)=(Resultados!F87&gt;Resultados!G87))*((F87&lt;G87)=(Resultados!F87&lt;Resultados!G87)),1,0)))</f>
        <v>1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zoomScaleNormal="100" workbookViewId="0">
      <selection activeCell="N13" sqref="N1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8" t="s">
        <v>0</v>
      </c>
      <c r="B1" s="69"/>
      <c r="C1" s="69"/>
      <c r="D1" s="69"/>
      <c r="E1" s="69"/>
      <c r="F1" s="69"/>
      <c r="G1" s="69"/>
      <c r="H1" s="70"/>
    </row>
    <row r="2" spans="1:12" ht="16.2" thickBot="1" x14ac:dyDescent="0.35">
      <c r="A2" s="71"/>
      <c r="B2" s="72"/>
      <c r="C2" s="72"/>
      <c r="D2" s="72"/>
      <c r="E2" s="72"/>
      <c r="F2" s="72"/>
      <c r="G2" s="72"/>
      <c r="H2" s="73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5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30</v>
      </c>
    </row>
    <row r="5" spans="1:12" ht="16.2" thickBot="1" x14ac:dyDescent="0.35">
      <c r="A5" s="96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6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>
        <f>IF(OR(Resultados!F6="",Resultados!G6=""),"",IF(AND(F6=Resultados!F6,G6=Resultados!G6),2,IF(((F6&gt;G6)=(Resultados!F6&gt;Resultados!G6))*((F6&lt;G6)=(Resultados!F6&lt;Resultados!G6)),1,0)))</f>
        <v>0</v>
      </c>
    </row>
    <row r="7" spans="1:12" ht="16.2" thickBot="1" x14ac:dyDescent="0.35">
      <c r="A7" s="96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>
        <f>IF(OR(Resultados!F7="",Resultados!G7=""),"",IF(AND(F7=Resultados!F7,G7=Resultados!G7),2,IF(((F7&gt;G7)=(Resultados!F7&gt;Resultados!G7))*((F7&lt;G7)=(Resultados!F7&lt;Resultados!G7)),1,0)))</f>
        <v>0</v>
      </c>
    </row>
    <row r="8" spans="1:12" ht="16.2" thickBot="1" x14ac:dyDescent="0.35">
      <c r="A8" s="96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65">
        <f>IF(OR(Resultados!F8="",Resultados!G8=""),"",IF(AND(F8=Resultados!F8,G8=Resultados!G8),2,IF(((F8&gt;G8)=(Resultados!F8&gt;Resultados!G8))*((F8&lt;G8)=(Resultados!F8&lt;Resultados!G8)),1,0)))</f>
        <v>1</v>
      </c>
    </row>
    <row r="9" spans="1:12" ht="16.2" thickBot="1" x14ac:dyDescent="0.35">
      <c r="A9" s="97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>
        <f>IF(OR(Resultados!F9="",Resultados!G9=""),"",IF(AND(F9=Resultados!F9,G9=Resultados!G9),2,IF(((F9&gt;G9)=(Resultados!F9&gt;Resultados!G9))*((F9&lt;G9)=(Resultados!F9&lt;Resultados!G9)),1,0)))</f>
        <v>0</v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8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9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9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>
        <f>IF(OR(Resultados!F14="",Resultados!G14=""),"",IF(AND(F14=Resultados!F14,G14=Resultados!G14),2,IF(((F14&gt;G14)=(Resultados!F14&gt;Resultados!G14))*((F14&lt;G14)=(Resultados!F14&lt;Resultados!G14)),1,0)))</f>
        <v>0</v>
      </c>
    </row>
    <row r="15" spans="1:12" ht="16.2" thickBot="1" x14ac:dyDescent="0.35">
      <c r="A15" s="99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>
        <f>IF(OR(Resultados!F15="",Resultados!G15=""),"",IF(AND(F15=Resultados!F15,G15=Resultados!G15),2,IF(((F15&gt;G15)=(Resultados!F15&gt;Resultados!G15))*((F15&lt;G15)=(Resultados!F15&lt;Resultados!G15)),1,0)))</f>
        <v>0</v>
      </c>
    </row>
    <row r="16" spans="1:12" ht="16.2" thickBot="1" x14ac:dyDescent="0.35">
      <c r="A16" s="99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>
        <f>IF(OR(Resultados!F16="",Resultados!G16=""),"",IF(AND(F16=Resultados!F16,G16=Resultados!G16),2,IF(((F16&gt;G16)=(Resultados!F16&gt;Resultados!G16))*((F16&lt;G16)=(Resultados!F16&lt;Resultados!G16)),1,0)))</f>
        <v>0</v>
      </c>
    </row>
    <row r="17" spans="1:10" ht="16.2" thickBot="1" x14ac:dyDescent="0.35">
      <c r="A17" s="100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>
        <f>IF(OR(Resultados!F17="",Resultados!G17=""),"",IF(AND(F17=Resultados!F17,G17=Resultados!G17),2,IF(((F17&gt;G17)=(Resultados!F17&gt;Resultados!G17))*((F17&lt;G17)=(Resultados!F17&lt;Resultados!G17)),1,0)))</f>
        <v>0</v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1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2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64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2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65">
        <f>IF(OR(Resultados!F22="",Resultados!G22=""),"",IF(AND(F22=Resultados!F22,G22=Resultados!G22),2,IF(((F22&gt;G22)=(Resultados!F22&gt;Resultados!G22))*((F22&lt;G22)=(Resultados!F22&lt;Resultados!G22)),1,0)))</f>
        <v>1</v>
      </c>
    </row>
    <row r="23" spans="1:10" ht="16.2" thickBot="1" x14ac:dyDescent="0.35">
      <c r="A23" s="102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65">
        <f>IF(OR(Resultados!F23="",Resultados!G23=""),"",IF(AND(F23=Resultados!F23,G23=Resultados!G23),2,IF(((F23&gt;G23)=(Resultados!F23&gt;Resultados!G23))*((F23&lt;G23)=(Resultados!F23&lt;Resultados!G23)),1,0)))</f>
        <v>1</v>
      </c>
    </row>
    <row r="24" spans="1:10" ht="16.2" thickBot="1" x14ac:dyDescent="0.35">
      <c r="A24" s="102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65">
        <f>IF(OR(Resultados!F24="",Resultados!G24=""),"",IF(AND(F24=Resultados!F24,G24=Resultados!G24),2,IF(((F24&gt;G24)=(Resultados!F24&gt;Resultados!G24))*((F24&lt;G24)=(Resultados!F24&lt;Resultados!G24)),1,0)))</f>
        <v>1</v>
      </c>
    </row>
    <row r="25" spans="1:10" ht="16.2" thickBot="1" x14ac:dyDescent="0.35">
      <c r="A25" s="103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65">
        <f>IF(OR(Resultados!F25="",Resultados!G25=""),"",IF(AND(F25=Resultados!F25,G25=Resultados!G25),2,IF(((F25&gt;G25)=(Resultados!F25&gt;Resultados!G25))*((F25&lt;G25)=(Resultados!F25&lt;Resultados!G25)),1,0)))</f>
        <v>1</v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4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5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5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65">
        <f>IF(OR(Resultados!F30="",Resultados!G30=""),"",IF(AND(F30=Resultados!F30,G30=Resultados!G30),2,IF(((F30&gt;G30)=(Resultados!F30&gt;Resultados!G30))*((F30&lt;G30)=(Resultados!F30&lt;Resultados!G30)),1,0)))</f>
        <v>1</v>
      </c>
    </row>
    <row r="31" spans="1:10" ht="16.2" thickBot="1" x14ac:dyDescent="0.35">
      <c r="A31" s="105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>
        <f>IF(OR(Resultados!F31="",Resultados!G31=""),"",IF(AND(F31=Resultados!F31,G31=Resultados!G31),2,IF(((F31&gt;G31)=(Resultados!F31&gt;Resultados!G31))*((F31&lt;G31)=(Resultados!F31&lt;Resultados!G31)),1,0)))</f>
        <v>0</v>
      </c>
    </row>
    <row r="32" spans="1:10" ht="16.2" thickBot="1" x14ac:dyDescent="0.35">
      <c r="A32" s="105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6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7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65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8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8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65">
        <f>IF(OR(Resultados!F38="",Resultados!G38=""),"",IF(AND(F38=Resultados!F38,G38=Resultados!G38),2,IF(((F38&gt;G38)=(Resultados!F38&gt;Resultados!G38))*((F38&lt;G38)=(Resultados!F38&lt;Resultados!G38)),1,0)))</f>
        <v>1</v>
      </c>
    </row>
    <row r="39" spans="1:10" ht="16.2" thickBot="1" x14ac:dyDescent="0.35">
      <c r="A39" s="108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65">
        <f>IF(OR(Resultados!F39="",Resultados!G39=""),"",IF(AND(F39=Resultados!F39,G39=Resultados!G39),2,IF(((F39&gt;G39)=(Resultados!F39&gt;Resultados!G39))*((F39&lt;G39)=(Resultados!F39&lt;Resultados!G39)),1,0)))</f>
        <v>1</v>
      </c>
    </row>
    <row r="40" spans="1:10" ht="16.2" thickBot="1" x14ac:dyDescent="0.35">
      <c r="A40" s="108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9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7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8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8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65">
        <f>IF(OR(Resultados!F46="",Resultados!G46=""),"",IF(AND(F46=Resultados!F46,G46=Resultados!G46),2,IF(((F46&gt;G46)=(Resultados!F46&gt;Resultados!G46))*((F46&lt;G46)=(Resultados!F46&lt;Resultados!G46)),1,0)))</f>
        <v>1</v>
      </c>
    </row>
    <row r="47" spans="1:10" ht="16.2" thickBot="1" x14ac:dyDescent="0.35">
      <c r="A47" s="78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>
        <f>IF(OR(Resultados!F47="",Resultados!G47=""),"",IF(AND(F47=Resultados!F47,G47=Resultados!G47),2,IF(((F47&gt;G47)=(Resultados!F47&gt;Resultados!G47))*((F47&lt;G47)=(Resultados!F47&lt;Resultados!G47)),1,0)))</f>
        <v>0</v>
      </c>
    </row>
    <row r="48" spans="1:10" ht="16.2" thickBot="1" x14ac:dyDescent="0.35">
      <c r="A48" s="78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9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0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64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1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65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1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>
        <f>IF(OR(Resultados!F54="",Resultados!G54=""),"",IF(AND(F54=Resultados!F54,G54=Resultados!G54),2,IF(((F54&gt;G54)=(Resultados!F54&gt;Resultados!G54))*((F54&lt;G54)=(Resultados!F54&lt;Resultados!G54)),1,0)))</f>
        <v>0</v>
      </c>
    </row>
    <row r="55" spans="1:10" ht="16.2" thickBot="1" x14ac:dyDescent="0.35">
      <c r="A55" s="81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65">
        <f>IF(OR(Resultados!F55="",Resultados!G55=""),"",IF(AND(F55=Resultados!F55,G55=Resultados!G55),2,IF(((F55&gt;G55)=(Resultados!F55&gt;Resultados!G55))*((F55&lt;G55)=(Resultados!F55&lt;Resultados!G55)),1,0)))</f>
        <v>1</v>
      </c>
    </row>
    <row r="56" spans="1:10" ht="16.2" thickBot="1" x14ac:dyDescent="0.35">
      <c r="A56" s="81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2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3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4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4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65">
        <f>IF(OR(Resultados!F62="",Resultados!G62=""),"",IF(AND(F62=Resultados!F62,G62=Resultados!G62),2,IF(((F62&gt;G62)=(Resultados!F62&gt;Resultados!G62))*((F62&lt;G62)=(Resultados!F62&lt;Resultados!G62)),1,0)))</f>
        <v>1</v>
      </c>
    </row>
    <row r="63" spans="1:10" ht="16.2" thickBot="1" x14ac:dyDescent="0.35">
      <c r="A63" s="84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>
        <f>IF(OR(Resultados!F63="",Resultados!G63=""),"",IF(AND(F63=Resultados!F63,G63=Resultados!G63),2,IF(((F63&gt;G63)=(Resultados!F63&gt;Resultados!G63))*((F63&lt;G63)=(Resultados!F63&lt;Resultados!G63)),1,0)))</f>
        <v>0</v>
      </c>
    </row>
    <row r="64" spans="1:10" ht="16.2" thickBot="1" x14ac:dyDescent="0.35">
      <c r="A64" s="84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5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6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65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7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65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7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65">
        <f>IF(OR(Resultados!F70="",Resultados!G70=""),"",IF(AND(F70=Resultados!F70,G70=Resultados!G70),2,IF(((F70&gt;G70)=(Resultados!F70&gt;Resultados!G70))*((F70&lt;G70)=(Resultados!F70&lt;Resultados!G70)),1,0)))</f>
        <v>1</v>
      </c>
    </row>
    <row r="71" spans="1:10" ht="16.2" thickBot="1" x14ac:dyDescent="0.35">
      <c r="A71" s="87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65">
        <f>IF(OR(Resultados!F71="",Resultados!G71=""),"",IF(AND(F71=Resultados!F71,G71=Resultados!G71),2,IF(((F71&gt;G71)=(Resultados!F71&gt;Resultados!G71))*((F71&lt;G71)=(Resultados!F71&lt;Resultados!G71)),1,0)))</f>
        <v>1</v>
      </c>
    </row>
    <row r="72" spans="1:10" ht="16.2" thickBot="1" x14ac:dyDescent="0.35">
      <c r="A72" s="87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8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9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65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0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65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0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65">
        <f>IF(OR(Resultados!F78="",Resultados!G78=""),"",IF(AND(F78=Resultados!F78,G78=Resultados!G78),2,IF(((F78&gt;G78)=(Resultados!F78&gt;Resultados!G78))*((F78&lt;G78)=(Resultados!F78&lt;Resultados!G78)),1,0)))</f>
        <v>1</v>
      </c>
    </row>
    <row r="79" spans="1:10" ht="16.2" thickBot="1" x14ac:dyDescent="0.35">
      <c r="A79" s="90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>
        <f>IF(OR(Resultados!F79="",Resultados!G79=""),"",IF(AND(F79=Resultados!F79,G79=Resultados!G79),2,IF(((F79&gt;G79)=(Resultados!F79&gt;Resultados!G79))*((F79&lt;G79)=(Resultados!F79&lt;Resultados!G79)),1,0)))</f>
        <v>0</v>
      </c>
    </row>
    <row r="80" spans="1:10" ht="16.2" thickBot="1" x14ac:dyDescent="0.35">
      <c r="A80" s="90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1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2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3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65">
        <f>IF(OR(Resultados!F85="",Resultados!G85=""),"",IF(AND(F85=Resultados!F85,G85=Resultados!G85),2,IF(((F85&gt;G85)=(Resultados!F85&gt;Resultados!G85))*((F85&lt;G85)=(Resultados!F85&lt;Resultados!G85)),1,0)))</f>
        <v>1</v>
      </c>
    </row>
    <row r="86" spans="1:10" ht="16.2" thickBot="1" x14ac:dyDescent="0.35">
      <c r="A86" s="93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65">
        <f>IF(OR(Resultados!F86="",Resultados!G86=""),"",IF(AND(F86=Resultados!F86,G86=Resultados!G86),2,IF(((F86&gt;G86)=(Resultados!F86&gt;Resultados!G86))*((F86&lt;G86)=(Resultados!F86&lt;Resultados!G86)),1,0)))</f>
        <v>1</v>
      </c>
    </row>
    <row r="87" spans="1:10" ht="16.2" thickBot="1" x14ac:dyDescent="0.35">
      <c r="A87" s="93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64">
        <f>IF(OR(Resultados!F87="",Resultados!G87=""),"",IF(AND(F87=Resultados!F87,G87=Resultados!G87),2,IF(((F87&gt;G87)=(Resultados!F87&gt;Resultados!G87))*((F87&lt;G87)=(Resultados!F87&lt;Resultados!G87)),1,0)))</f>
        <v>2</v>
      </c>
    </row>
    <row r="88" spans="1:10" ht="16.2" thickBot="1" x14ac:dyDescent="0.35">
      <c r="A88" s="93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4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4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65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5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5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>
        <f>IF(OR(Resultados!F94="",Resultados!G94=""),"",IF(AND(F94=Resultados!F94,G94=Resultados!G94),2,IF(((F94&gt;G94)=(Resultados!F94&gt;Resultados!G94))*((F94&lt;G94)=(Resultados!F94&lt;Resultados!G94)),1,0)))</f>
        <v>0</v>
      </c>
    </row>
    <row r="95" spans="1:10" ht="16.2" thickBot="1" x14ac:dyDescent="0.35">
      <c r="A95" s="75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65">
        <f>IF(OR(Resultados!F95="",Resultados!G95=""),"",IF(AND(F95=Resultados!F95,G95=Resultados!G95),2,IF(((F95&gt;G95)=(Resultados!F95&gt;Resultados!G95))*((F95&lt;G95)=(Resultados!F95&lt;Resultados!G95)),1,0)))</f>
        <v>1</v>
      </c>
    </row>
    <row r="96" spans="1:10" ht="16.2" thickBot="1" x14ac:dyDescent="0.35">
      <c r="A96" s="75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6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2026-06-25T14:47:45Z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