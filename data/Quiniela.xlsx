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7E41E6FF-6258-4168-9C7F-6E700C0BCEF3}" xr6:coauthVersionLast="47" xr6:coauthVersionMax="47" xr10:uidLastSave="{00000000-0000-0000-0000-000000000000}"/>
  <bookViews>
    <workbookView xWindow="-108" yWindow="-108" windowWidth="23256" windowHeight="13896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<sst xmlns="http://schemas.openxmlformats.org/spreadsheetml/2006/main" count="3164" uniqueCount="87">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</sst>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0" fontId="5" fillId="24" borderId="9" xfId="0" applyFont="1" applyFill="1" applyBorder="1" applyAlignment="1">
      <alignment horizontal="center" vertical="center"/>
    </xf>
    <xf numFmtId="0" fontId="1" fillId="25" borderId="0" xfId="0" applyFont="1" applyFill="1" applyAlignment="1" applyProtection="1">
      <alignment horizontal="center" vertical="center"/>
      <protection locked="0"/>
    </xf>
    <xf numFmtId="0" fontId="1" fillId="21" borderId="0" xfId="0" applyFont="1" applyFill="1" applyAlignment="1" applyProtection="1">
      <alignment horizontal="center" vertical="center"/>
      <protection locked="0"/>
    </xf>
    <xf numFmtId="0" fontId="5" fillId="23" borderId="9" xfId="0" applyFont="1" applyFill="1" applyBorder="1" applyAlignment="1" applyProtection="1">
      <alignment horizontal="center" vertical="center"/>
      <protection locked="0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  <xf numFmtId="14" fontId="6" fillId="19" borderId="2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abSelected="1" topLeftCell="A70" zoomScale="115" zoomScaleNormal="115" workbookViewId="0">
      <selection activeCell="L80" sqref="L80"/>
    </sheetView>
  </sheetViews>
  <sheetFormatPr baseColWidth="10" defaultRowHeight="15.6" x14ac:dyDescent="0.3"/>
  <cols>
    <col min="1" max="1" width="2.109375" style="1" bestFit="1" customWidth="1"/>
    <col min="2" max="2" width="11.21875" style="1" bestFit="1" customWidth="1"/>
    <col min="3" max="3" width="4.77734375" style="1" bestFit="1" customWidth="1"/>
    <col min="4" max="4" width="3.6640625" style="1" bestFit="1" customWidth="1"/>
    <col min="5" max="5" width="17.21875" style="2" bestFit="1" customWidth="1"/>
    <col min="6" max="7" width="3.44140625" style="2" bestFit="1" customWidth="1"/>
    <col min="8" max="8" width="17.21875" style="1" bestFit="1" customWidth="1"/>
    <col min="9" max="16384" width="11.5546875" style="1"/>
  </cols>
  <sheetData>
    <row r="1" spans="1:8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8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51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95"/>
      <c r="B5" s="7">
        <v>46185</v>
      </c>
      <c r="C5" s="8">
        <v>0.16666666666666666</v>
      </c>
      <c r="D5" s="9" t="s">
        <v>8</v>
      </c>
      <c r="E5" s="151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95"/>
      <c r="B6" s="7">
        <v>46191</v>
      </c>
      <c r="C6" s="8">
        <v>0.75</v>
      </c>
      <c r="D6" s="9" t="s">
        <v>13</v>
      </c>
      <c r="E6" s="61" t="s">
        <v>12</v>
      </c>
      <c r="F6" s="66">
        <v>1</v>
      </c>
      <c r="G6" s="66">
        <v>1</v>
      </c>
      <c r="H6" s="61" t="s">
        <v>10</v>
      </c>
    </row>
    <row r="7" spans="1:8" ht="16.2" thickBot="1" x14ac:dyDescent="0.35">
      <c r="A7" s="95"/>
      <c r="B7" s="7">
        <v>46192</v>
      </c>
      <c r="C7" s="8">
        <v>0.125</v>
      </c>
      <c r="D7" s="9" t="s">
        <v>13</v>
      </c>
      <c r="E7" s="151" t="s">
        <v>9</v>
      </c>
      <c r="F7" s="66">
        <v>1</v>
      </c>
      <c r="G7" s="66">
        <v>0</v>
      </c>
      <c r="H7" s="20" t="s">
        <v>11</v>
      </c>
    </row>
    <row r="8" spans="1:8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/>
      <c r="G8" s="25"/>
      <c r="H8" s="20" t="s">
        <v>9</v>
      </c>
    </row>
    <row r="9" spans="1:8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/>
      <c r="G9" s="25"/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98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98"/>
      <c r="B14" s="7">
        <v>46191</v>
      </c>
      <c r="C14" s="8">
        <v>0.875</v>
      </c>
      <c r="D14" s="9" t="s">
        <v>13</v>
      </c>
      <c r="E14" s="27" t="s">
        <v>19</v>
      </c>
      <c r="F14" s="66">
        <v>4</v>
      </c>
      <c r="G14" s="66">
        <v>1</v>
      </c>
      <c r="H14" s="21" t="s">
        <v>17</v>
      </c>
    </row>
    <row r="15" spans="1:8" ht="16.2" thickBot="1" x14ac:dyDescent="0.35">
      <c r="A15" s="98"/>
      <c r="B15" s="7">
        <v>46192</v>
      </c>
      <c r="C15" s="8">
        <v>0</v>
      </c>
      <c r="D15" s="9" t="s">
        <v>13</v>
      </c>
      <c r="E15" s="27" t="s">
        <v>16</v>
      </c>
      <c r="F15" s="66">
        <v>6</v>
      </c>
      <c r="G15" s="66">
        <v>0</v>
      </c>
      <c r="H15" s="21" t="s">
        <v>18</v>
      </c>
    </row>
    <row r="16" spans="1:8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/>
      <c r="G16" s="25"/>
      <c r="H16" s="21" t="s">
        <v>16</v>
      </c>
    </row>
    <row r="17" spans="1:8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/>
      <c r="G17" s="25"/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151" t="s">
        <v>24</v>
      </c>
    </row>
    <row r="22" spans="1:8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66">
        <v>0</v>
      </c>
      <c r="G22" s="66">
        <v>1</v>
      </c>
      <c r="H22" s="151" t="s">
        <v>22</v>
      </c>
    </row>
    <row r="23" spans="1:8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27" t="s">
        <v>21</v>
      </c>
      <c r="F23" s="66">
        <v>3</v>
      </c>
      <c r="G23" s="66">
        <v>0</v>
      </c>
      <c r="H23" s="21" t="s">
        <v>23</v>
      </c>
    </row>
    <row r="24" spans="1:8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/>
      <c r="G24" s="25"/>
      <c r="H24" s="21" t="s">
        <v>21</v>
      </c>
    </row>
    <row r="25" spans="1:8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/>
      <c r="G25" s="25"/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104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104"/>
      <c r="B30" s="7">
        <v>46192</v>
      </c>
      <c r="C30" s="8">
        <v>0.875</v>
      </c>
      <c r="D30" s="9" t="s">
        <v>13</v>
      </c>
      <c r="E30" s="27" t="s">
        <v>26</v>
      </c>
      <c r="F30" s="66">
        <v>2</v>
      </c>
      <c r="G30" s="66">
        <v>0</v>
      </c>
      <c r="H30" s="21" t="s">
        <v>28</v>
      </c>
    </row>
    <row r="31" spans="1:8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66">
        <v>0</v>
      </c>
      <c r="G31" s="66">
        <v>1</v>
      </c>
      <c r="H31" s="151" t="s">
        <v>27</v>
      </c>
    </row>
    <row r="32" spans="1:8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</row>
    <row r="33" spans="1:8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27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27" t="s">
        <v>31</v>
      </c>
      <c r="F38" s="62">
        <v>2</v>
      </c>
      <c r="G38" s="62">
        <v>1</v>
      </c>
      <c r="H38" s="21" t="s">
        <v>33</v>
      </c>
    </row>
    <row r="39" spans="1:8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61" t="s">
        <v>34</v>
      </c>
      <c r="F39" s="62">
        <v>0</v>
      </c>
      <c r="G39" s="62">
        <v>0</v>
      </c>
      <c r="H39" s="61" t="s">
        <v>32</v>
      </c>
    </row>
    <row r="40" spans="1:8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</row>
    <row r="41" spans="1:8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77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27" t="s">
        <v>36</v>
      </c>
      <c r="F46" s="62">
        <v>5</v>
      </c>
      <c r="G46" s="62">
        <v>1</v>
      </c>
      <c r="H46" s="21" t="s">
        <v>38</v>
      </c>
    </row>
    <row r="47" spans="1:8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66">
        <v>0</v>
      </c>
      <c r="G47" s="66">
        <v>4</v>
      </c>
      <c r="H47" s="151" t="s">
        <v>37</v>
      </c>
    </row>
    <row r="48" spans="1:8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</row>
    <row r="49" spans="1:8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80"/>
      <c r="B53" s="7">
        <v>46189</v>
      </c>
      <c r="C53" s="8">
        <v>0.125</v>
      </c>
      <c r="D53" s="9" t="s">
        <v>8</v>
      </c>
      <c r="E53" s="61" t="s">
        <v>43</v>
      </c>
      <c r="F53" s="63">
        <v>2</v>
      </c>
      <c r="G53" s="63">
        <v>2</v>
      </c>
      <c r="H53" s="61" t="s">
        <v>44</v>
      </c>
    </row>
    <row r="54" spans="1:8" ht="16.2" thickBot="1" x14ac:dyDescent="0.35">
      <c r="A54" s="80"/>
      <c r="B54" s="7">
        <v>46194</v>
      </c>
      <c r="C54" s="8">
        <v>0.875</v>
      </c>
      <c r="D54" s="9" t="s">
        <v>13</v>
      </c>
      <c r="E54" s="61" t="s">
        <v>41</v>
      </c>
      <c r="F54" s="63">
        <v>0</v>
      </c>
      <c r="G54" s="63">
        <v>0</v>
      </c>
      <c r="H54" s="61" t="s">
        <v>43</v>
      </c>
    </row>
    <row r="55" spans="1:8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63">
        <v>1</v>
      </c>
      <c r="G55" s="63">
        <v>3</v>
      </c>
      <c r="H55" s="151" t="s">
        <v>42</v>
      </c>
    </row>
    <row r="56" spans="1:8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</row>
    <row r="57" spans="1:8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83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83"/>
      <c r="B62" s="7">
        <v>46194</v>
      </c>
      <c r="C62" s="8">
        <v>0.75</v>
      </c>
      <c r="D62" s="9" t="s">
        <v>13</v>
      </c>
      <c r="E62" s="27" t="s">
        <v>46</v>
      </c>
      <c r="F62" s="66">
        <v>4</v>
      </c>
      <c r="G62" s="66">
        <v>0</v>
      </c>
      <c r="H62" s="21" t="s">
        <v>48</v>
      </c>
    </row>
    <row r="63" spans="1:8" ht="16.2" thickBot="1" x14ac:dyDescent="0.35">
      <c r="A63" s="83"/>
      <c r="B63" s="7">
        <v>46195</v>
      </c>
      <c r="C63" s="8">
        <v>0</v>
      </c>
      <c r="D63" s="9" t="s">
        <v>13</v>
      </c>
      <c r="E63" s="61" t="s">
        <v>49</v>
      </c>
      <c r="F63" s="66">
        <v>2</v>
      </c>
      <c r="G63" s="66">
        <v>2</v>
      </c>
      <c r="H63" s="61" t="s">
        <v>47</v>
      </c>
    </row>
    <row r="64" spans="1:8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</row>
    <row r="65" spans="1:8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27" t="s">
        <v>51</v>
      </c>
      <c r="F68" s="62">
        <v>3</v>
      </c>
      <c r="G68" s="62">
        <v>1</v>
      </c>
      <c r="H68" s="21" t="s">
        <v>52</v>
      </c>
    </row>
    <row r="69" spans="1:8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62">
        <v>1</v>
      </c>
      <c r="G69" s="62">
        <v>4</v>
      </c>
      <c r="H69" s="151" t="s">
        <v>54</v>
      </c>
    </row>
    <row r="70" spans="1:8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</row>
    <row r="71" spans="1:8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</row>
    <row r="72" spans="1:8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</row>
    <row r="73" spans="1:8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27" t="s">
        <v>56</v>
      </c>
      <c r="F76" s="62">
        <v>3</v>
      </c>
      <c r="G76" s="62">
        <v>0</v>
      </c>
      <c r="H76" s="21" t="s">
        <v>57</v>
      </c>
    </row>
    <row r="77" spans="1:8" ht="16.2" thickBot="1" x14ac:dyDescent="0.35">
      <c r="A77" s="89"/>
      <c r="B77" s="7">
        <v>46190</v>
      </c>
      <c r="C77" s="8">
        <v>0.25</v>
      </c>
      <c r="D77" s="9" t="s">
        <v>8</v>
      </c>
      <c r="E77" s="27" t="s">
        <v>58</v>
      </c>
      <c r="F77" s="62">
        <v>3</v>
      </c>
      <c r="G77" s="62">
        <v>1</v>
      </c>
      <c r="H77" s="21" t="s">
        <v>59</v>
      </c>
    </row>
    <row r="78" spans="1:8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27" t="s">
        <v>56</v>
      </c>
      <c r="F78" s="62">
        <v>2</v>
      </c>
      <c r="G78" s="62">
        <v>0</v>
      </c>
      <c r="H78" s="21" t="s">
        <v>58</v>
      </c>
    </row>
    <row r="79" spans="1:8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</row>
    <row r="80" spans="1:8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61" t="s">
        <v>61</v>
      </c>
      <c r="F84" s="62">
        <v>1</v>
      </c>
      <c r="G84" s="62">
        <v>1</v>
      </c>
      <c r="H84" s="61" t="s">
        <v>62</v>
      </c>
    </row>
    <row r="85" spans="1:8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62">
        <v>1</v>
      </c>
      <c r="G85" s="62">
        <v>3</v>
      </c>
      <c r="H85" s="151" t="s">
        <v>64</v>
      </c>
    </row>
    <row r="86" spans="1:8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</row>
    <row r="87" spans="1:8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</row>
    <row r="88" spans="1:8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</row>
    <row r="89" spans="1:8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27" t="s">
        <v>66</v>
      </c>
      <c r="F92" s="62">
        <v>4</v>
      </c>
      <c r="G92" s="62">
        <v>2</v>
      </c>
      <c r="H92" s="21" t="s">
        <v>67</v>
      </c>
    </row>
    <row r="93" spans="1:8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27" t="s">
        <v>68</v>
      </c>
      <c r="F93" s="62">
        <v>1</v>
      </c>
      <c r="G93" s="62">
        <v>0</v>
      </c>
      <c r="H93" s="21" t="s">
        <v>69</v>
      </c>
    </row>
    <row r="94" spans="1:8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</row>
    <row r="95" spans="1:8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</row>
    <row r="96" spans="1:8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</row>
    <row r="97" spans="1:8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zoomScale="131" workbookViewId="0">
      <selection activeCell="G12" sqref="G12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109" t="s">
        <v>74</v>
      </c>
      <c r="E1" s="110"/>
      <c r="F1" s="111"/>
    </row>
    <row r="2" spans="1:6" x14ac:dyDescent="0.3">
      <c r="D2" s="112" t="s">
        <v>75</v>
      </c>
      <c r="E2" s="113"/>
      <c r="F2" s="114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25</v>
      </c>
      <c r="D5" s="59">
        <v>1</v>
      </c>
      <c r="E5" s="59" t="str" cm="1">
        <f t="array" ref="E5:F13">_xlfn._xlws.SORT(A5:B13,2,-1)</f>
        <v>Bere</v>
      </c>
      <c r="F5" s="59">
        <v>29</v>
      </c>
    </row>
    <row r="6" spans="1:6" x14ac:dyDescent="0.3">
      <c r="A6" s="58" t="s">
        <v>77</v>
      </c>
      <c r="B6" s="58">
        <f>Wendy!L4</f>
        <v>24</v>
      </c>
      <c r="D6" s="55">
        <v>2</v>
      </c>
      <c r="E6" s="55" t="str">
        <v>Erik</v>
      </c>
      <c r="F6" s="55">
        <v>28</v>
      </c>
    </row>
    <row r="7" spans="1:6" x14ac:dyDescent="0.3">
      <c r="A7" s="58" t="s">
        <v>79</v>
      </c>
      <c r="B7" s="58">
        <f>Jimmy!L4</f>
        <v>26</v>
      </c>
      <c r="D7" s="56">
        <v>3</v>
      </c>
      <c r="E7" s="56" t="str">
        <v>Jimmy</v>
      </c>
      <c r="F7" s="56">
        <v>26</v>
      </c>
    </row>
    <row r="8" spans="1:6" x14ac:dyDescent="0.3">
      <c r="A8" s="58" t="s">
        <v>81</v>
      </c>
      <c r="B8" s="58">
        <f>Erick!L4</f>
        <v>21</v>
      </c>
      <c r="D8" s="28">
        <v>4</v>
      </c>
      <c r="E8" s="28" t="str">
        <v>Packy</v>
      </c>
      <c r="F8" s="28">
        <v>26</v>
      </c>
    </row>
    <row r="9" spans="1:6" x14ac:dyDescent="0.3">
      <c r="A9" s="58" t="s">
        <v>82</v>
      </c>
      <c r="B9" s="58">
        <f>Erik!L4</f>
        <v>28</v>
      </c>
      <c r="D9" s="28">
        <v>5</v>
      </c>
      <c r="E9" s="28" t="str">
        <v>Cindy</v>
      </c>
      <c r="F9" s="28">
        <v>25</v>
      </c>
    </row>
    <row r="10" spans="1:6" x14ac:dyDescent="0.3">
      <c r="A10" s="58" t="s">
        <v>83</v>
      </c>
      <c r="B10" s="58">
        <f>Lennon!L4</f>
        <v>22</v>
      </c>
      <c r="D10" s="28">
        <v>6</v>
      </c>
      <c r="E10" s="28" t="str">
        <v>Wendy</v>
      </c>
      <c r="F10" s="28">
        <v>24</v>
      </c>
    </row>
    <row r="11" spans="1:6" x14ac:dyDescent="0.3">
      <c r="A11" s="58" t="s">
        <v>84</v>
      </c>
      <c r="B11" s="58">
        <f>Yulian!L4</f>
        <v>21</v>
      </c>
      <c r="D11" s="28">
        <v>7</v>
      </c>
      <c r="E11" s="28" t="str">
        <v>Lennon</v>
      </c>
      <c r="F11" s="28">
        <v>22</v>
      </c>
    </row>
    <row r="12" spans="1:6" x14ac:dyDescent="0.3">
      <c r="A12" s="58" t="s">
        <v>78</v>
      </c>
      <c r="B12" s="58">
        <f>Packy!L4</f>
        <v>26</v>
      </c>
      <c r="D12" s="28">
        <v>8</v>
      </c>
      <c r="E12" s="28" t="str">
        <v>Erick</v>
      </c>
      <c r="F12" s="28">
        <v>21</v>
      </c>
    </row>
    <row r="13" spans="1:6" x14ac:dyDescent="0.3">
      <c r="A13" s="58" t="s">
        <v>80</v>
      </c>
      <c r="B13" s="58">
        <f>Bere!L4</f>
        <v>29</v>
      </c>
      <c r="D13" s="28">
        <v>9</v>
      </c>
      <c r="E13" s="28" t="str">
        <v>Yulian</v>
      </c>
      <c r="F13" s="28">
        <v>21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83" zoomScaleNormal="100" workbookViewId="0">
      <selection activeCell="L96" sqref="L96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42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25</v>
      </c>
    </row>
    <row r="5" spans="1:12" ht="16.2" thickBot="1" x14ac:dyDescent="0.35">
      <c r="A5" s="143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43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43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1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43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44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45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46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46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46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46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47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48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49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49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64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49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64">
        <f>IF(OR(Resultados!F23="",Resultados!G23=""),"",IF(AND(F23=Resultados!F23,G23=Resultados!G23),2,IF(((F23&gt;G23)=(Resultados!F23&gt;Resultados!G23))*((F23&lt;G23)=(Resultados!F23&lt;Resultados!G23)),1,0)))</f>
        <v>2</v>
      </c>
    </row>
    <row r="24" spans="1:10" ht="16.2" thickBot="1" x14ac:dyDescent="0.35">
      <c r="A24" s="149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50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39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40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40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40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40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41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21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22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22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1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22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22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23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24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5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25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125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125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26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27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28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128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128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1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128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29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30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31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31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1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131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131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32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33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34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34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34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34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35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36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37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37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1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137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37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8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15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16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16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16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16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17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18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19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119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19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19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20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topLeftCell="A75" zoomScaleNormal="100" workbookViewId="0">
      <selection activeCell="K88" sqref="K88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42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24</v>
      </c>
    </row>
    <row r="5" spans="1:12" ht="16.2" thickBot="1" x14ac:dyDescent="0.35">
      <c r="A5" s="143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43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43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1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43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44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45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46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46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46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46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47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48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49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49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0</v>
      </c>
    </row>
    <row r="23" spans="1:10" ht="16.2" thickBot="1" x14ac:dyDescent="0.35">
      <c r="A23" s="149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49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50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39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40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40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40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64">
        <f>IF(OR(Resultados!F31="",Resultados!G31=""),"",IF(AND(F31=Resultados!F31,G31=Resultados!G31),2,IF(((F31&gt;G31)=(Resultados!F31&gt;Resultados!G31))*((F31&lt;G31)=(Resultados!F31&lt;Resultados!G31)),1,0)))</f>
        <v>2</v>
      </c>
    </row>
    <row r="32" spans="1:10" ht="16.2" thickBot="1" x14ac:dyDescent="0.35">
      <c r="A32" s="140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41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21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22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22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1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22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22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23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24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5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25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125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125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26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27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28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128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1</v>
      </c>
    </row>
    <row r="55" spans="1:10" ht="16.2" thickBot="1" x14ac:dyDescent="0.35">
      <c r="A55" s="128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>
        <f>IF(OR(Resultados!F55="",Resultados!G55=""),"",IF(AND(F55=Resultados!F55,G55=Resultados!G55),2,IF(((F55&gt;G55)=(Resultados!F55&gt;Resultados!G55))*((F55&lt;G55)=(Resultados!F55&lt;Resultados!G55)),1,0)))</f>
        <v>0</v>
      </c>
    </row>
    <row r="56" spans="1:10" ht="16.2" thickBot="1" x14ac:dyDescent="0.35">
      <c r="A56" s="128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29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30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31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31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1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131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131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32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33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34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34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34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34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35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36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37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37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1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137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37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8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15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16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16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16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16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17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18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19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119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19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19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20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69" zoomScaleNormal="100" workbookViewId="0">
      <selection activeCell="M20" sqref="M2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26</v>
      </c>
    </row>
    <row r="5" spans="1:12" ht="16.2" thickBot="1" x14ac:dyDescent="0.35">
      <c r="A5" s="95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5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5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8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8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8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4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4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7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0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64">
        <f>IF(OR(Resultados!F53="",Resultados!G53=""),"",IF(AND(F53=Resultados!F53,G53=Resultados!G53),2,IF(((F53&gt;G53)=(Resultados!F53&gt;Resultados!G53))*((F53&lt;G53)=(Resultados!F53&lt;Resultados!G53)),1,0)))</f>
        <v>2</v>
      </c>
    </row>
    <row r="54" spans="1:10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3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89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topLeftCell="A17" zoomScaleNormal="100" workbookViewId="0">
      <selection activeCell="L25" sqref="L25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26</v>
      </c>
    </row>
    <row r="5" spans="1:12" ht="16.2" thickBot="1" x14ac:dyDescent="0.35">
      <c r="A5" s="95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5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5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8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8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8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64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4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4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>
        <f>IF(OR(Resultados!F38="",Resultados!G38=""),"",IF(AND(F38=Resultados!F38,G38=Resultados!G38),2,IF(((F38&gt;G38)=(Resultados!F38&gt;Resultados!G38))*((F38&lt;G38)=(Resultados!F38&lt;Resultados!G38)),1,0)))</f>
        <v>2</v>
      </c>
    </row>
    <row r="39" spans="1:10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7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0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3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9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topLeftCell="A78" zoomScaleNormal="100" workbookViewId="0">
      <selection activeCell="G96" sqref="G96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29</v>
      </c>
    </row>
    <row r="5" spans="1:12" ht="16.2" thickBot="1" x14ac:dyDescent="0.35">
      <c r="A5" s="95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5"/>
      <c r="B6" s="7">
        <v>46191</v>
      </c>
      <c r="C6" s="8">
        <v>0.75</v>
      </c>
      <c r="D6" s="9" t="s">
        <v>13</v>
      </c>
      <c r="E6" s="10" t="s">
        <v>12</v>
      </c>
      <c r="F6" s="66">
        <v>3</v>
      </c>
      <c r="G6" s="66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5"/>
      <c r="B7" s="7">
        <v>46192</v>
      </c>
      <c r="C7" s="8">
        <v>0.125</v>
      </c>
      <c r="D7" s="9" t="s">
        <v>13</v>
      </c>
      <c r="E7" s="10" t="s">
        <v>9</v>
      </c>
      <c r="F7" s="66">
        <v>1</v>
      </c>
      <c r="G7" s="66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8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8"/>
      <c r="B14" s="7">
        <v>46191</v>
      </c>
      <c r="C14" s="8">
        <v>0.875</v>
      </c>
      <c r="D14" s="9" t="s">
        <v>13</v>
      </c>
      <c r="E14" s="10" t="s">
        <v>19</v>
      </c>
      <c r="F14" s="66">
        <v>1</v>
      </c>
      <c r="G14" s="66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8"/>
      <c r="B15" s="7">
        <v>46192</v>
      </c>
      <c r="C15" s="8">
        <v>0</v>
      </c>
      <c r="D15" s="9" t="s">
        <v>13</v>
      </c>
      <c r="E15" s="10" t="s">
        <v>16</v>
      </c>
      <c r="F15" s="66">
        <v>2</v>
      </c>
      <c r="G15" s="66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62">
        <v>1</v>
      </c>
      <c r="G21" s="62">
        <v>3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64">
        <f>IF(OR(Resultados!F23="",Resultados!G23=""),"",IF(AND(F23=Resultados!F23,G23=Resultados!G23),2,IF(((F23&gt;G23)=(Resultados!F23&gt;Resultados!G23))*((F23&lt;G23)=(Resultados!F23&lt;Resultados!G23)),1,0)))</f>
        <v>2</v>
      </c>
    </row>
    <row r="24" spans="1:10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4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4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4</v>
      </c>
      <c r="G38" s="25">
        <v>2</v>
      </c>
      <c r="H38" s="21" t="s">
        <v>33</v>
      </c>
      <c r="J38" s="1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1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7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3</v>
      </c>
      <c r="G46" s="25">
        <v>1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2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0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>
        <v>4</v>
      </c>
      <c r="G54" s="25">
        <v>1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>
        <v>1</v>
      </c>
      <c r="G55" s="25">
        <v>3</v>
      </c>
      <c r="H55" s="21" t="s">
        <v>42</v>
      </c>
      <c r="J55" s="1">
        <f>IF(OR(Resultados!F55="",Resultados!G55=""),"",IF(AND(F55=Resultados!F55,G55=Resultados!G55),2,IF(((F55&gt;G55)=(Resultados!F55&gt;Resultados!G55))*((F55&lt;G55)=(Resultados!F55&lt;Resultados!G55)),1,0)))</f>
        <v>2</v>
      </c>
    </row>
    <row r="56" spans="1:10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3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>
        <v>4</v>
      </c>
      <c r="G62" s="25">
        <v>1</v>
      </c>
      <c r="H62" s="21" t="s">
        <v>48</v>
      </c>
      <c r="J62" s="1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1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9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0</v>
      </c>
      <c r="G79" s="25">
        <v>2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3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zoomScaleNormal="100" workbookViewId="0">
      <selection activeCell="M8" sqref="M8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21</v>
      </c>
    </row>
    <row r="5" spans="1:12" ht="16.2" thickBot="1" x14ac:dyDescent="0.35">
      <c r="A5" s="95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5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5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8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8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8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4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4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>
        <f>IF(OR(Resultados!F38="",Resultados!G38=""),"",IF(AND(F38=Resultados!F38,G38=Resultados!G38),2,IF(((F38&gt;G38)=(Resultados!F38&gt;Resultados!G38))*((F38&lt;G38)=(Resultados!F38&lt;Resultados!G38)),1,0)))</f>
        <v>2</v>
      </c>
    </row>
    <row r="39" spans="1:10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65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77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0</v>
      </c>
    </row>
    <row r="48" spans="1:10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0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1</v>
      </c>
    </row>
    <row r="55" spans="1:10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3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0</v>
      </c>
    </row>
    <row r="70" spans="1:10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9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topLeftCell="A24" zoomScaleNormal="100" workbookViewId="0">
      <selection activeCell="E31" sqref="E31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28</v>
      </c>
    </row>
    <row r="5" spans="1:12" ht="16.2" thickBot="1" x14ac:dyDescent="0.35">
      <c r="A5" s="95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5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64">
        <f>IF(OR(Resultados!F6="",Resultados!G6=""),"",IF(AND(F6=Resultados!F6,G6=Resultados!G6),2,IF(((F6&gt;G6)=(Resultados!F6&gt;Resultados!G6))*((F6&lt;G6)=(Resultados!F6&lt;Resultados!G6)),1,0)))</f>
        <v>2</v>
      </c>
    </row>
    <row r="7" spans="1:12" ht="16.2" thickBot="1" x14ac:dyDescent="0.35">
      <c r="A7" s="95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8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8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8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4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04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65">
        <f>IF(OR(Resultados!F31="",Resultados!G31=""),"",IF(AND(F31=Resultados!F31,G31=Resultados!G31),2,IF(((F31&gt;G31)=(Resultados!F31&gt;Resultados!G31))*((F31&lt;G31)=(Resultados!F31&lt;Resultados!G31)),1,0)))</f>
        <v>1</v>
      </c>
    </row>
    <row r="32" spans="1:10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1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7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0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3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9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zoomScaleNormal="100" workbookViewId="0">
      <selection activeCell="M29" sqref="M29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22</v>
      </c>
    </row>
    <row r="5" spans="1:12" ht="16.2" thickBot="1" x14ac:dyDescent="0.35">
      <c r="A5" s="95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5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5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8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8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8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4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4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>
        <f>IF(OR(Resultados!F38="",Resultados!G38=""),"",IF(AND(F38=Resultados!F38,G38=Resultados!G38),2,IF(((F38&gt;G38)=(Resultados!F38&gt;Resultados!G38))*((F38&lt;G38)=(Resultados!F38&lt;Resultados!G38)),1,0)))</f>
        <v>0</v>
      </c>
    </row>
    <row r="39" spans="1:10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7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0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3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89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topLeftCell="A81" zoomScaleNormal="100" workbookViewId="0">
      <selection activeCell="J30" sqref="J3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21</v>
      </c>
    </row>
    <row r="5" spans="1:12" ht="16.2" thickBot="1" x14ac:dyDescent="0.35">
      <c r="A5" s="95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5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5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8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8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8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4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4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1</v>
      </c>
    </row>
    <row r="40" spans="1:10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7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0</v>
      </c>
    </row>
    <row r="48" spans="1:10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0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3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1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9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Props1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 Giron</cp:lastModifiedBy>
  <cp:lastPrinted>2026-06-14T01:53:30Z</cp:lastPrinted>
  <dcterms:created xsi:type="dcterms:W3CDTF">2026-06-14T01:28:55Z</dcterms:created>
  <dcterms:modified xsi:type="dcterms:W3CDTF">2026-06-22T20:09:00Z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