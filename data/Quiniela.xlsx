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C4DB6324-544A-4C53-AB14-09E2F23C5591}" xr6:coauthVersionLast="47" xr6:coauthVersionMax="47" xr10:uidLastSave="{00000000-0000-0000-0000-000000000000}"/>
  <bookViews>
    <workbookView xWindow="-108" yWindow="-108" windowWidth="23256" windowHeight="13896" activeTab="1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<sst xmlns="http://schemas.openxmlformats.org/spreadsheetml/2006/main" count="3164" uniqueCount="87">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</sst>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66" zoomScale="125" zoomScaleNormal="115" workbookViewId="0">
      <selection activeCell="J74" sqref="J74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8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2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95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1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74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77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0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86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/>
      <c r="G84" s="26"/>
      <c r="H84" s="21" t="s">
        <v>62</v>
      </c>
    </row>
    <row r="85" spans="1:8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</row>
    <row r="86" spans="1:8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/>
      <c r="G92" s="26"/>
      <c r="H92" s="21" t="s">
        <v>67</v>
      </c>
    </row>
    <row r="93" spans="1:8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/>
      <c r="G93" s="26"/>
      <c r="H93" s="21" t="s">
        <v>69</v>
      </c>
    </row>
    <row r="94" spans="1:8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tabSelected="1" zoomScale="131" workbookViewId="0">
      <selection activeCell="G11" sqref="G11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106" t="s">
        <v>74</v>
      </c>
      <c r="E1" s="107"/>
      <c r="F1" s="108"/>
    </row>
    <row r="2" spans="1:6" x14ac:dyDescent="0.3">
      <c r="D2" s="109" t="s">
        <v>75</v>
      </c>
      <c r="E2" s="110"/>
      <c r="F2" s="111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7</v>
      </c>
      <c r="D5" s="59">
        <v>1</v>
      </c>
      <c r="E5" s="59" t="str" cm="1">
        <f t="array" ref="E5:F13">_xlfn._xlws.SORT(A5:B13,2,-1)</f>
        <v>Wendy</v>
      </c>
      <c r="F5" s="59">
        <v>11</v>
      </c>
    </row>
    <row r="6" spans="1:6" x14ac:dyDescent="0.3">
      <c r="A6" s="58" t="s">
        <v>77</v>
      </c>
      <c r="B6" s="58">
        <f>Wendy!L4</f>
        <v>11</v>
      </c>
      <c r="D6" s="55">
        <v>2</v>
      </c>
      <c r="E6" s="55" t="str">
        <v>Lennon</v>
      </c>
      <c r="F6" s="55">
        <v>11</v>
      </c>
    </row>
    <row r="7" spans="1:6" x14ac:dyDescent="0.3">
      <c r="A7" s="58" t="s">
        <v>79</v>
      </c>
      <c r="B7" s="58">
        <f>Jimmy!L4</f>
        <v>9</v>
      </c>
      <c r="D7" s="56">
        <v>3</v>
      </c>
      <c r="E7" s="56" t="str">
        <v>Erik</v>
      </c>
      <c r="F7" s="56">
        <v>10</v>
      </c>
    </row>
    <row r="8" spans="1:6" x14ac:dyDescent="0.3">
      <c r="A8" s="58" t="s">
        <v>81</v>
      </c>
      <c r="B8" s="58">
        <f>Erick!L4</f>
        <v>6</v>
      </c>
      <c r="D8" s="28">
        <v>4</v>
      </c>
      <c r="E8" s="28" t="str">
        <v>Yulian</v>
      </c>
      <c r="F8" s="28">
        <v>10</v>
      </c>
    </row>
    <row r="9" spans="1:6" x14ac:dyDescent="0.3">
      <c r="A9" s="58" t="s">
        <v>82</v>
      </c>
      <c r="B9" s="58">
        <f>Erik!L4</f>
        <v>10</v>
      </c>
      <c r="D9" s="28">
        <v>5</v>
      </c>
      <c r="E9" s="28" t="str">
        <v>Packy</v>
      </c>
      <c r="F9" s="28">
        <v>10</v>
      </c>
    </row>
    <row r="10" spans="1:6" x14ac:dyDescent="0.3">
      <c r="A10" s="58" t="s">
        <v>83</v>
      </c>
      <c r="B10" s="58">
        <f>Lennon!L4</f>
        <v>11</v>
      </c>
      <c r="D10" s="28">
        <v>6</v>
      </c>
      <c r="E10" s="28" t="str">
        <v>Bere</v>
      </c>
      <c r="F10" s="28">
        <v>10</v>
      </c>
    </row>
    <row r="11" spans="1:6" x14ac:dyDescent="0.3">
      <c r="A11" s="58" t="s">
        <v>84</v>
      </c>
      <c r="B11" s="58">
        <f>Yulian!L4</f>
        <v>10</v>
      </c>
      <c r="D11" s="28">
        <v>7</v>
      </c>
      <c r="E11" s="28" t="str">
        <v>Jimmy</v>
      </c>
      <c r="F11" s="28">
        <v>9</v>
      </c>
    </row>
    <row r="12" spans="1:6" x14ac:dyDescent="0.3">
      <c r="A12" s="58" t="s">
        <v>78</v>
      </c>
      <c r="B12" s="58">
        <f>Packy!L4</f>
        <v>10</v>
      </c>
      <c r="D12" s="28">
        <v>8</v>
      </c>
      <c r="E12" s="28" t="str">
        <v>Cindy</v>
      </c>
      <c r="F12" s="28">
        <v>7</v>
      </c>
    </row>
    <row r="13" spans="1:6" x14ac:dyDescent="0.3">
      <c r="A13" s="58" t="s">
        <v>80</v>
      </c>
      <c r="B13" s="58">
        <f>Bere!L4</f>
        <v>10</v>
      </c>
      <c r="D13" s="28">
        <v>9</v>
      </c>
      <c r="E13" s="28" t="str">
        <v>Erick</v>
      </c>
      <c r="F13" s="28">
        <v>6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69" zoomScaleNormal="100" workbookViewId="0">
      <selection activeCell="P40" sqref="P40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15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7</v>
      </c>
    </row>
    <row r="5" spans="1:12" ht="16.2" thickBot="1" x14ac:dyDescent="0.35">
      <c r="A5" s="116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6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16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16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7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18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19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19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19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19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0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21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2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2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2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2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3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12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3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13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3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3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4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30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1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1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1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1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2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33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4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4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4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4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5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36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7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37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7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7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8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39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0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0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0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0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1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42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43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3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3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3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4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45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46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46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6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6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7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24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25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25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5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5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6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27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28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28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28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28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9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0" zoomScale="115" zoomScaleNormal="115" workbookViewId="0">
      <selection activeCell="G53" sqref="G5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15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11</v>
      </c>
    </row>
    <row r="5" spans="1:12" ht="16.2" thickBot="1" x14ac:dyDescent="0.35">
      <c r="A5" s="116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16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16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16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17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18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19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19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19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19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20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21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22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22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22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22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23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12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13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13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13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13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14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30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31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31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31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31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32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33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34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34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34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34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35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36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37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37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37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37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38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39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40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40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40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40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41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42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43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43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43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43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44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45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46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46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46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46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47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24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125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25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25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25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26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27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128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128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28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28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29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66" zoomScale="129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10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63" zoomScale="121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9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opLeftCell="A64" zoomScale="115" zoomScaleNormal="115" workbookViewId="0">
      <selection activeCell="F77" sqref="F7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10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65" zoomScale="115" zoomScaleNormal="115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6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67" zoomScale="130" workbookViewId="0">
      <selection activeCell="G53" sqref="G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10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62" zoomScale="115" zoomScaleNormal="115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B67" zoomScale="155" zoomScaleNormal="100" workbookViewId="0">
      <selection activeCell="K75" sqref="K7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64" t="s">
        <v>0</v>
      </c>
      <c r="B1" s="65"/>
      <c r="C1" s="65"/>
      <c r="D1" s="65"/>
      <c r="E1" s="65"/>
      <c r="F1" s="65"/>
      <c r="G1" s="65"/>
      <c r="H1" s="66"/>
    </row>
    <row r="2" spans="1:12" ht="16.2" thickBot="1" x14ac:dyDescent="0.35">
      <c r="A2" s="67"/>
      <c r="B2" s="68"/>
      <c r="C2" s="68"/>
      <c r="D2" s="68"/>
      <c r="E2" s="68"/>
      <c r="F2" s="68"/>
      <c r="G2" s="68"/>
      <c r="H2" s="69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1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10</v>
      </c>
    </row>
    <row r="5" spans="1:12" ht="16.2" thickBot="1" x14ac:dyDescent="0.35">
      <c r="A5" s="92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2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2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2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3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94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95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95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95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95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96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97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98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98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98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98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99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0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1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1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1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1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2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3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04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04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04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04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05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3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74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74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74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74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75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76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77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77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77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77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78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79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0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0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0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0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1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2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3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3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3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3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84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85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86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86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86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86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87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88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 t="str">
        <f>IF(OR(Resultados!F84="",Resultados!G84=""),"",IF(AND(F84=Resultados!F84,G84=Resultados!G84),2,IF(((F84&gt;G84)=(Resultados!F84&gt;Resultados!G84))*((F84&lt;G84)=(Resultados!F84&lt;Resultados!G84)),1,0)))</f>
        <v/>
      </c>
    </row>
    <row r="85" spans="1:10" ht="16.2" thickBot="1" x14ac:dyDescent="0.35">
      <c r="A85" s="89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89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89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89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0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0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 t="str">
        <f>IF(OR(Resultados!F92="",Resultados!G92=""),"",IF(AND(F92=Resultados!F92,G92=Resultados!G92),2,IF(((F92&gt;G92)=(Resultados!F92&gt;Resultados!G92))*((F92&lt;G92)=(Resultados!F92&lt;Resultados!G92)),1,0)))</f>
        <v/>
      </c>
    </row>
    <row r="93" spans="1:10" ht="16.2" thickBot="1" x14ac:dyDescent="0.35">
      <c r="A93" s="71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 t="str">
        <f>IF(OR(Resultados!F93="",Resultados!G93=""),"",IF(AND(F93=Resultados!F93,G93=Resultados!G93),2,IF(((F93&gt;G93)=(Resultados!F93&gt;Resultados!G93))*((F93&lt;G93)=(Resultados!F93&lt;Resultados!G93)),1,0)))</f>
        <v/>
      </c>
    </row>
    <row r="94" spans="1:10" ht="16.2" thickBot="1" x14ac:dyDescent="0.35">
      <c r="A94" s="71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1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1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2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84:A89"/>
    <mergeCell ref="A92:A97"/>
    <mergeCell ref="A36:A41"/>
    <mergeCell ref="A44:A49"/>
    <mergeCell ref="A52:A57"/>
    <mergeCell ref="A60:A65"/>
    <mergeCell ref="A68:A73"/>
    <mergeCell ref="A76:A81"/>
    <mergeCell ref="A28:A33"/>
    <mergeCell ref="A1:H1"/>
    <mergeCell ref="A2:H2"/>
    <mergeCell ref="A4:A9"/>
    <mergeCell ref="A12:A17"/>
    <mergeCell ref="A20:A25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2026-06-17T15:26:20Z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