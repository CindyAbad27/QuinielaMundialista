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A7489EF2-9C12-4A0D-9270-7E41A1BE0AD2}" xr6:coauthVersionLast="47" xr6:coauthVersionMax="47" xr10:uidLastSave="{00000000-0000-0000-0000-000000000000}"/>
  <bookViews>
    <workbookView xWindow="-108" yWindow="-108" windowWidth="23256" windowHeight="13896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<sst xmlns="http://schemas.openxmlformats.org/spreadsheetml/2006/main" count="3164" uniqueCount="87">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</sst>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0" fontId="5" fillId="24" borderId="9" xfId="0" applyFont="1" applyFill="1" applyBorder="1" applyAlignment="1">
      <alignment horizontal="center" vertical="center"/>
    </xf>
    <xf numFmtId="0" fontId="1" fillId="25" borderId="0" xfId="0" applyFont="1" applyFill="1" applyAlignment="1" applyProtection="1">
      <alignment horizontal="center" vertical="center"/>
      <protection locked="0"/>
    </xf>
    <xf numFmtId="0" fontId="1" fillId="21" borderId="0" xfId="0" applyFont="1" applyFill="1" applyAlignment="1" applyProtection="1">
      <alignment horizontal="center" vertical="center"/>
      <protection locked="0"/>
    </xf>
    <xf numFmtId="0" fontId="5" fillId="23" borderId="9" xfId="0" applyFont="1" applyFill="1" applyBorder="1" applyAlignment="1" applyProtection="1">
      <alignment horizontal="center" vertical="center"/>
      <protection locked="0"/>
    </xf>
    <xf numFmtId="14" fontId="6" fillId="19" borderId="22" xfId="0" applyNumberFormat="1" applyFont="1" applyFill="1" applyBorder="1" applyAlignment="1" applyProtection="1">
      <alignment horizontal="center" vertical="center"/>
      <protection locked="0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abSelected="1" topLeftCell="A72" zoomScale="115" zoomScaleNormal="115" workbookViewId="0">
      <selection activeCell="K84" sqref="K84"/>
    </sheetView>
  </sheetViews>
  <sheetFormatPr baseColWidth="10" defaultRowHeight="15.6" x14ac:dyDescent="0.3"/>
  <cols>
    <col min="1" max="1" width="2.109375" style="1" bestFit="1" customWidth="1"/>
    <col min="2" max="2" width="11.21875" style="1" bestFit="1" customWidth="1"/>
    <col min="3" max="3" width="4.77734375" style="1" bestFit="1" customWidth="1"/>
    <col min="4" max="4" width="3.6640625" style="1" bestFit="1" customWidth="1"/>
    <col min="5" max="5" width="17.21875" style="2" bestFit="1" customWidth="1"/>
    <col min="6" max="7" width="3.44140625" style="2" bestFit="1" customWidth="1"/>
    <col min="8" max="8" width="17.21875" style="1" bestFit="1" customWidth="1"/>
    <col min="9" max="16384" width="11.5546875" style="1"/>
  </cols>
  <sheetData>
    <row r="1" spans="1:8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8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67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96"/>
      <c r="B5" s="7">
        <v>46185</v>
      </c>
      <c r="C5" s="8">
        <v>0.16666666666666666</v>
      </c>
      <c r="D5" s="9" t="s">
        <v>8</v>
      </c>
      <c r="E5" s="67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96"/>
      <c r="B6" s="7">
        <v>46191</v>
      </c>
      <c r="C6" s="8">
        <v>0.75</v>
      </c>
      <c r="D6" s="9" t="s">
        <v>13</v>
      </c>
      <c r="E6" s="61" t="s">
        <v>12</v>
      </c>
      <c r="F6" s="66">
        <v>1</v>
      </c>
      <c r="G6" s="66">
        <v>1</v>
      </c>
      <c r="H6" s="61" t="s">
        <v>10</v>
      </c>
    </row>
    <row r="7" spans="1:8" ht="16.2" thickBot="1" x14ac:dyDescent="0.35">
      <c r="A7" s="96"/>
      <c r="B7" s="7">
        <v>46192</v>
      </c>
      <c r="C7" s="8">
        <v>0.125</v>
      </c>
      <c r="D7" s="9" t="s">
        <v>13</v>
      </c>
      <c r="E7" s="67" t="s">
        <v>9</v>
      </c>
      <c r="F7" s="66">
        <v>1</v>
      </c>
      <c r="G7" s="66">
        <v>0</v>
      </c>
      <c r="H7" s="20" t="s">
        <v>11</v>
      </c>
    </row>
    <row r="8" spans="1:8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66">
        <v>0</v>
      </c>
      <c r="G8" s="66">
        <v>3</v>
      </c>
      <c r="H8" s="67" t="s">
        <v>9</v>
      </c>
    </row>
    <row r="9" spans="1:8" ht="16.2" thickBot="1" x14ac:dyDescent="0.35">
      <c r="A9" s="97"/>
      <c r="B9" s="12">
        <v>46198</v>
      </c>
      <c r="C9" s="13">
        <v>0.125</v>
      </c>
      <c r="D9" s="14" t="s">
        <v>14</v>
      </c>
      <c r="E9" s="67" t="s">
        <v>10</v>
      </c>
      <c r="F9" s="66">
        <v>1</v>
      </c>
      <c r="G9" s="66">
        <v>0</v>
      </c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99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99"/>
      <c r="B14" s="7">
        <v>46191</v>
      </c>
      <c r="C14" s="8">
        <v>0.875</v>
      </c>
      <c r="D14" s="9" t="s">
        <v>13</v>
      </c>
      <c r="E14" s="27" t="s">
        <v>19</v>
      </c>
      <c r="F14" s="66">
        <v>4</v>
      </c>
      <c r="G14" s="66">
        <v>1</v>
      </c>
      <c r="H14" s="21" t="s">
        <v>17</v>
      </c>
    </row>
    <row r="15" spans="1:8" ht="16.2" thickBot="1" x14ac:dyDescent="0.35">
      <c r="A15" s="99"/>
      <c r="B15" s="7">
        <v>46192</v>
      </c>
      <c r="C15" s="8">
        <v>0</v>
      </c>
      <c r="D15" s="9" t="s">
        <v>13</v>
      </c>
      <c r="E15" s="27" t="s">
        <v>16</v>
      </c>
      <c r="F15" s="66">
        <v>6</v>
      </c>
      <c r="G15" s="66">
        <v>0</v>
      </c>
      <c r="H15" s="21" t="s">
        <v>18</v>
      </c>
    </row>
    <row r="16" spans="1:8" ht="16.2" thickBot="1" x14ac:dyDescent="0.35">
      <c r="A16" s="99"/>
      <c r="B16" s="7">
        <v>46197</v>
      </c>
      <c r="C16" s="8">
        <v>0.875</v>
      </c>
      <c r="D16" s="9" t="s">
        <v>14</v>
      </c>
      <c r="E16" s="27" t="s">
        <v>19</v>
      </c>
      <c r="F16" s="66">
        <v>2</v>
      </c>
      <c r="G16" s="66">
        <v>1</v>
      </c>
      <c r="H16" s="21" t="s">
        <v>16</v>
      </c>
    </row>
    <row r="17" spans="1:8" ht="16.2" thickBot="1" x14ac:dyDescent="0.35">
      <c r="A17" s="100"/>
      <c r="B17" s="12">
        <v>46197</v>
      </c>
      <c r="C17" s="13">
        <v>0.875</v>
      </c>
      <c r="D17" s="14" t="s">
        <v>14</v>
      </c>
      <c r="E17" s="27" t="s">
        <v>17</v>
      </c>
      <c r="F17" s="66">
        <v>3</v>
      </c>
      <c r="G17" s="66">
        <v>1</v>
      </c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67" t="s">
        <v>24</v>
      </c>
    </row>
    <row r="22" spans="1:8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66">
        <v>0</v>
      </c>
      <c r="G22" s="66">
        <v>1</v>
      </c>
      <c r="H22" s="67" t="s">
        <v>22</v>
      </c>
    </row>
    <row r="23" spans="1:8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27" t="s">
        <v>21</v>
      </c>
      <c r="F23" s="66">
        <v>3</v>
      </c>
      <c r="G23" s="66">
        <v>0</v>
      </c>
      <c r="H23" s="21" t="s">
        <v>23</v>
      </c>
    </row>
    <row r="24" spans="1:8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66">
        <v>0</v>
      </c>
      <c r="G24" s="66">
        <v>3</v>
      </c>
      <c r="H24" s="21" t="s">
        <v>21</v>
      </c>
    </row>
    <row r="25" spans="1:8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66">
        <v>4</v>
      </c>
      <c r="G25" s="66">
        <v>2</v>
      </c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105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105"/>
      <c r="B30" s="7">
        <v>46192</v>
      </c>
      <c r="C30" s="8">
        <v>0.875</v>
      </c>
      <c r="D30" s="9" t="s">
        <v>13</v>
      </c>
      <c r="E30" s="27" t="s">
        <v>26</v>
      </c>
      <c r="F30" s="66">
        <v>2</v>
      </c>
      <c r="G30" s="66">
        <v>0</v>
      </c>
      <c r="H30" s="21" t="s">
        <v>28</v>
      </c>
    </row>
    <row r="31" spans="1:8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66">
        <v>0</v>
      </c>
      <c r="G31" s="66">
        <v>1</v>
      </c>
      <c r="H31" s="67" t="s">
        <v>27</v>
      </c>
    </row>
    <row r="32" spans="1:8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67" t="s">
        <v>29</v>
      </c>
      <c r="F32" s="66">
        <v>3</v>
      </c>
      <c r="G32" s="66">
        <v>2</v>
      </c>
      <c r="H32" s="21" t="s">
        <v>26</v>
      </c>
    </row>
    <row r="33" spans="1:8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61" t="s">
        <v>27</v>
      </c>
      <c r="F33" s="66">
        <v>0</v>
      </c>
      <c r="G33" s="66">
        <v>0</v>
      </c>
      <c r="H33" s="6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27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27" t="s">
        <v>31</v>
      </c>
      <c r="F38" s="62">
        <v>2</v>
      </c>
      <c r="G38" s="62">
        <v>1</v>
      </c>
      <c r="H38" s="21" t="s">
        <v>33</v>
      </c>
    </row>
    <row r="39" spans="1:8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61" t="s">
        <v>34</v>
      </c>
      <c r="F39" s="62">
        <v>0</v>
      </c>
      <c r="G39" s="62">
        <v>0</v>
      </c>
      <c r="H39" s="61" t="s">
        <v>32</v>
      </c>
    </row>
    <row r="40" spans="1:8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66">
        <v>0</v>
      </c>
      <c r="G40" s="66">
        <v>2</v>
      </c>
      <c r="H40" s="67" t="s">
        <v>33</v>
      </c>
    </row>
    <row r="41" spans="1:8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67" t="s">
        <v>34</v>
      </c>
      <c r="F41" s="66">
        <v>2</v>
      </c>
      <c r="G41" s="66">
        <v>1</v>
      </c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78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27" t="s">
        <v>36</v>
      </c>
      <c r="F46" s="62">
        <v>5</v>
      </c>
      <c r="G46" s="62">
        <v>1</v>
      </c>
      <c r="H46" s="21" t="s">
        <v>38</v>
      </c>
    </row>
    <row r="47" spans="1:8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66">
        <v>0</v>
      </c>
      <c r="G47" s="66">
        <v>4</v>
      </c>
      <c r="H47" s="67" t="s">
        <v>37</v>
      </c>
    </row>
    <row r="48" spans="1:8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61" t="s">
        <v>37</v>
      </c>
      <c r="F48" s="66">
        <v>1</v>
      </c>
      <c r="G48" s="66">
        <v>1</v>
      </c>
      <c r="H48" s="61" t="s">
        <v>38</v>
      </c>
    </row>
    <row r="49" spans="1:8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66">
        <v>1</v>
      </c>
      <c r="G49" s="66">
        <v>3</v>
      </c>
      <c r="H49" s="67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81"/>
      <c r="B53" s="7">
        <v>46189</v>
      </c>
      <c r="C53" s="8">
        <v>0.125</v>
      </c>
      <c r="D53" s="9" t="s">
        <v>8</v>
      </c>
      <c r="E53" s="61" t="s">
        <v>43</v>
      </c>
      <c r="F53" s="63">
        <v>2</v>
      </c>
      <c r="G53" s="63">
        <v>2</v>
      </c>
      <c r="H53" s="61" t="s">
        <v>44</v>
      </c>
    </row>
    <row r="54" spans="1:8" ht="16.2" thickBot="1" x14ac:dyDescent="0.35">
      <c r="A54" s="81"/>
      <c r="B54" s="7">
        <v>46194</v>
      </c>
      <c r="C54" s="8">
        <v>0.875</v>
      </c>
      <c r="D54" s="9" t="s">
        <v>13</v>
      </c>
      <c r="E54" s="61" t="s">
        <v>41</v>
      </c>
      <c r="F54" s="63">
        <v>0</v>
      </c>
      <c r="G54" s="63">
        <v>0</v>
      </c>
      <c r="H54" s="61" t="s">
        <v>43</v>
      </c>
    </row>
    <row r="55" spans="1:8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62">
        <v>1</v>
      </c>
      <c r="G55" s="62">
        <v>3</v>
      </c>
      <c r="H55" s="67" t="s">
        <v>42</v>
      </c>
    </row>
    <row r="56" spans="1:8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61" t="s">
        <v>42</v>
      </c>
      <c r="F56" s="66">
        <v>1</v>
      </c>
      <c r="G56" s="66">
        <v>1</v>
      </c>
      <c r="H56" s="61" t="s">
        <v>43</v>
      </c>
    </row>
    <row r="57" spans="1:8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66">
        <v>1</v>
      </c>
      <c r="G57" s="66">
        <v>5</v>
      </c>
      <c r="H57" s="67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84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84"/>
      <c r="B62" s="7">
        <v>46194</v>
      </c>
      <c r="C62" s="8">
        <v>0.75</v>
      </c>
      <c r="D62" s="9" t="s">
        <v>13</v>
      </c>
      <c r="E62" s="27" t="s">
        <v>46</v>
      </c>
      <c r="F62" s="66">
        <v>4</v>
      </c>
      <c r="G62" s="66">
        <v>0</v>
      </c>
      <c r="H62" s="21" t="s">
        <v>48</v>
      </c>
    </row>
    <row r="63" spans="1:8" ht="16.2" thickBot="1" x14ac:dyDescent="0.35">
      <c r="A63" s="84"/>
      <c r="B63" s="7">
        <v>46195</v>
      </c>
      <c r="C63" s="8">
        <v>0</v>
      </c>
      <c r="D63" s="9" t="s">
        <v>13</v>
      </c>
      <c r="E63" s="61" t="s">
        <v>49</v>
      </c>
      <c r="F63" s="66">
        <v>2</v>
      </c>
      <c r="G63" s="66">
        <v>2</v>
      </c>
      <c r="H63" s="61" t="s">
        <v>47</v>
      </c>
    </row>
    <row r="64" spans="1:8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61" t="s">
        <v>47</v>
      </c>
      <c r="F64" s="66">
        <v>0</v>
      </c>
      <c r="G64" s="66">
        <v>0</v>
      </c>
      <c r="H64" s="61" t="s">
        <v>48</v>
      </c>
    </row>
    <row r="65" spans="1:8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66">
        <v>0</v>
      </c>
      <c r="G65" s="66">
        <v>1</v>
      </c>
      <c r="H65" s="67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27" t="s">
        <v>51</v>
      </c>
      <c r="F68" s="62">
        <v>3</v>
      </c>
      <c r="G68" s="62">
        <v>1</v>
      </c>
      <c r="H68" s="21" t="s">
        <v>52</v>
      </c>
    </row>
    <row r="69" spans="1:8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62">
        <v>1</v>
      </c>
      <c r="G69" s="62">
        <v>4</v>
      </c>
      <c r="H69" s="67" t="s">
        <v>54</v>
      </c>
    </row>
    <row r="70" spans="1:8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67" t="s">
        <v>51</v>
      </c>
      <c r="F70" s="66">
        <v>3</v>
      </c>
      <c r="G70" s="66">
        <v>0</v>
      </c>
      <c r="H70" s="21" t="s">
        <v>53</v>
      </c>
    </row>
    <row r="71" spans="1:8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67" t="s">
        <v>54</v>
      </c>
      <c r="F71" s="66">
        <v>3</v>
      </c>
      <c r="G71" s="62">
        <v>2</v>
      </c>
      <c r="H71" s="21" t="s">
        <v>52</v>
      </c>
    </row>
    <row r="72" spans="1:8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66">
        <v>1</v>
      </c>
      <c r="G72" s="66">
        <v>4</v>
      </c>
      <c r="H72" s="67" t="s">
        <v>51</v>
      </c>
    </row>
    <row r="73" spans="1:8" ht="16.2" thickBot="1" x14ac:dyDescent="0.35">
      <c r="A73" s="88"/>
      <c r="B73" s="12">
        <v>46199</v>
      </c>
      <c r="C73" s="13">
        <v>0.875</v>
      </c>
      <c r="D73" s="14" t="s">
        <v>14</v>
      </c>
      <c r="E73" s="67" t="s">
        <v>52</v>
      </c>
      <c r="F73" s="66">
        <v>5</v>
      </c>
      <c r="G73" s="66">
        <v>0</v>
      </c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27" t="s">
        <v>56</v>
      </c>
      <c r="F76" s="62">
        <v>3</v>
      </c>
      <c r="G76" s="62">
        <v>0</v>
      </c>
      <c r="H76" s="21" t="s">
        <v>57</v>
      </c>
    </row>
    <row r="77" spans="1:8" ht="16.2" thickBot="1" x14ac:dyDescent="0.35">
      <c r="A77" s="90"/>
      <c r="B77" s="7">
        <v>46190</v>
      </c>
      <c r="C77" s="8">
        <v>0.25</v>
      </c>
      <c r="D77" s="9" t="s">
        <v>8</v>
      </c>
      <c r="E77" s="27" t="s">
        <v>58</v>
      </c>
      <c r="F77" s="62">
        <v>3</v>
      </c>
      <c r="G77" s="62">
        <v>1</v>
      </c>
      <c r="H77" s="21" t="s">
        <v>59</v>
      </c>
    </row>
    <row r="78" spans="1:8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27" t="s">
        <v>56</v>
      </c>
      <c r="F78" s="62">
        <v>2</v>
      </c>
      <c r="G78" s="62">
        <v>0</v>
      </c>
      <c r="H78" s="21" t="s">
        <v>58</v>
      </c>
    </row>
    <row r="79" spans="1:8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62">
        <v>1</v>
      </c>
      <c r="G79" s="62">
        <v>2</v>
      </c>
      <c r="H79" s="67" t="s">
        <v>57</v>
      </c>
    </row>
    <row r="80" spans="1:8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61" t="s">
        <v>57</v>
      </c>
      <c r="F80" s="66">
        <v>3</v>
      </c>
      <c r="G80" s="66">
        <v>3</v>
      </c>
      <c r="H80" s="61" t="s">
        <v>58</v>
      </c>
    </row>
    <row r="81" spans="1:8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66">
        <v>1</v>
      </c>
      <c r="G81" s="66">
        <v>3</v>
      </c>
      <c r="H81" s="67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61" t="s">
        <v>61</v>
      </c>
      <c r="F84" s="62">
        <v>1</v>
      </c>
      <c r="G84" s="62">
        <v>1</v>
      </c>
      <c r="H84" s="61" t="s">
        <v>62</v>
      </c>
    </row>
    <row r="85" spans="1:8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62">
        <v>1</v>
      </c>
      <c r="G85" s="62">
        <v>3</v>
      </c>
      <c r="H85" s="67" t="s">
        <v>64</v>
      </c>
    </row>
    <row r="86" spans="1:8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67" t="s">
        <v>61</v>
      </c>
      <c r="F86" s="62">
        <v>5</v>
      </c>
      <c r="G86" s="62">
        <v>0</v>
      </c>
      <c r="H86" s="21" t="s">
        <v>63</v>
      </c>
    </row>
    <row r="87" spans="1:8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67" t="s">
        <v>64</v>
      </c>
      <c r="F87" s="62">
        <v>1</v>
      </c>
      <c r="G87" s="62">
        <v>0</v>
      </c>
      <c r="H87" s="21" t="s">
        <v>62</v>
      </c>
    </row>
    <row r="88" spans="1:8" ht="16.2" thickBot="1" x14ac:dyDescent="0.35">
      <c r="A88" s="93"/>
      <c r="B88" s="7">
        <v>46201</v>
      </c>
      <c r="C88" s="8">
        <v>6.25E-2</v>
      </c>
      <c r="D88" s="9" t="s">
        <v>14</v>
      </c>
      <c r="E88" s="61" t="s">
        <v>64</v>
      </c>
      <c r="F88" s="66">
        <v>0</v>
      </c>
      <c r="G88" s="66">
        <v>0</v>
      </c>
      <c r="H88" s="61" t="s">
        <v>61</v>
      </c>
    </row>
    <row r="89" spans="1:8" ht="16.2" thickBot="1" x14ac:dyDescent="0.35">
      <c r="A89" s="94"/>
      <c r="B89" s="12">
        <v>46201</v>
      </c>
      <c r="C89" s="13">
        <v>6.25E-2</v>
      </c>
      <c r="D89" s="14" t="s">
        <v>14</v>
      </c>
      <c r="E89" s="67" t="s">
        <v>62</v>
      </c>
      <c r="F89" s="66">
        <v>3</v>
      </c>
      <c r="G89" s="66">
        <v>1</v>
      </c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27" t="s">
        <v>66</v>
      </c>
      <c r="F92" s="62">
        <v>4</v>
      </c>
      <c r="G92" s="62">
        <v>2</v>
      </c>
      <c r="H92" s="21" t="s">
        <v>67</v>
      </c>
    </row>
    <row r="93" spans="1:8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27" t="s">
        <v>68</v>
      </c>
      <c r="F93" s="62">
        <v>1</v>
      </c>
      <c r="G93" s="62">
        <v>0</v>
      </c>
      <c r="H93" s="21" t="s">
        <v>69</v>
      </c>
    </row>
    <row r="94" spans="1:8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61" t="s">
        <v>66</v>
      </c>
      <c r="F94" s="62">
        <v>0</v>
      </c>
      <c r="G94" s="62">
        <v>0</v>
      </c>
      <c r="H94" s="61" t="s">
        <v>68</v>
      </c>
    </row>
    <row r="95" spans="1:8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62">
        <v>0</v>
      </c>
      <c r="G95" s="62">
        <v>1</v>
      </c>
      <c r="H95" s="67" t="s">
        <v>67</v>
      </c>
    </row>
    <row r="96" spans="1:8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66">
        <v>0</v>
      </c>
      <c r="G96" s="66">
        <v>2</v>
      </c>
      <c r="H96" s="67" t="s">
        <v>66</v>
      </c>
    </row>
    <row r="97" spans="1:8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67" t="s">
        <v>67</v>
      </c>
      <c r="F97" s="66">
        <v>2</v>
      </c>
      <c r="G97" s="66">
        <v>1</v>
      </c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zoomScale="131" workbookViewId="0">
      <selection activeCell="G16" sqref="G16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110" t="s">
        <v>74</v>
      </c>
      <c r="E1" s="111"/>
      <c r="F1" s="112"/>
    </row>
    <row r="2" spans="1:6" x14ac:dyDescent="0.3">
      <c r="D2" s="113" t="s">
        <v>75</v>
      </c>
      <c r="E2" s="114"/>
      <c r="F2" s="115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52</v>
      </c>
      <c r="D5" s="59">
        <v>1</v>
      </c>
      <c r="E5" s="59" t="str" cm="1">
        <f t="array" ref="E5:F13">_xlfn._xlws.SORT(A5:B13,2,-1)</f>
        <v>Bere</v>
      </c>
      <c r="F5" s="59">
        <v>55</v>
      </c>
    </row>
    <row r="6" spans="1:6" x14ac:dyDescent="0.3">
      <c r="A6" s="58" t="s">
        <v>77</v>
      </c>
      <c r="B6" s="58">
        <f>Wendy!L4</f>
        <v>40</v>
      </c>
      <c r="D6" s="55">
        <v>2</v>
      </c>
      <c r="E6" s="55" t="str">
        <v>Cindy</v>
      </c>
      <c r="F6" s="55">
        <v>52</v>
      </c>
    </row>
    <row r="7" spans="1:6" x14ac:dyDescent="0.3">
      <c r="A7" s="58" t="s">
        <v>79</v>
      </c>
      <c r="B7" s="58">
        <f>Jimmy!L4</f>
        <v>48</v>
      </c>
      <c r="D7" s="56">
        <v>3</v>
      </c>
      <c r="E7" s="56" t="str">
        <v>Packy</v>
      </c>
      <c r="F7" s="56">
        <v>49</v>
      </c>
    </row>
    <row r="8" spans="1:6" x14ac:dyDescent="0.3">
      <c r="A8" s="58" t="s">
        <v>81</v>
      </c>
      <c r="B8" s="58">
        <f>Erick!L4</f>
        <v>42</v>
      </c>
      <c r="D8" s="28">
        <v>4</v>
      </c>
      <c r="E8" s="28" t="str">
        <v>Jimmy</v>
      </c>
      <c r="F8" s="28">
        <v>48</v>
      </c>
    </row>
    <row r="9" spans="1:6" x14ac:dyDescent="0.3">
      <c r="A9" s="58" t="s">
        <v>82</v>
      </c>
      <c r="B9" s="58">
        <f>Erik!L4</f>
        <v>46</v>
      </c>
      <c r="D9" s="28">
        <v>5</v>
      </c>
      <c r="E9" s="28" t="str">
        <v>Erik</v>
      </c>
      <c r="F9" s="28">
        <v>46</v>
      </c>
    </row>
    <row r="10" spans="1:6" x14ac:dyDescent="0.3">
      <c r="A10" s="58" t="s">
        <v>83</v>
      </c>
      <c r="B10" s="58">
        <f>Lennon!L4</f>
        <v>41</v>
      </c>
      <c r="D10" s="28">
        <v>6</v>
      </c>
      <c r="E10" s="28" t="str">
        <v>Erick</v>
      </c>
      <c r="F10" s="28">
        <v>42</v>
      </c>
    </row>
    <row r="11" spans="1:6" x14ac:dyDescent="0.3">
      <c r="A11" s="58" t="s">
        <v>84</v>
      </c>
      <c r="B11" s="58">
        <f>Yulian!L4</f>
        <v>39</v>
      </c>
      <c r="D11" s="28">
        <v>7</v>
      </c>
      <c r="E11" s="28" t="str">
        <v>Lennon</v>
      </c>
      <c r="F11" s="28">
        <v>41</v>
      </c>
    </row>
    <row r="12" spans="1:6" x14ac:dyDescent="0.3">
      <c r="A12" s="58" t="s">
        <v>78</v>
      </c>
      <c r="B12" s="58">
        <f>Packy!L4</f>
        <v>49</v>
      </c>
      <c r="D12" s="28">
        <v>8</v>
      </c>
      <c r="E12" s="28" t="str">
        <v>Wendy</v>
      </c>
      <c r="F12" s="28">
        <v>40</v>
      </c>
    </row>
    <row r="13" spans="1:6" x14ac:dyDescent="0.3">
      <c r="A13" s="58" t="s">
        <v>80</v>
      </c>
      <c r="B13" s="58">
        <f>Bere!L4</f>
        <v>55</v>
      </c>
      <c r="D13" s="28">
        <v>9</v>
      </c>
      <c r="E13" s="28" t="str">
        <v>Yulian</v>
      </c>
      <c r="F13" s="28">
        <v>39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69" zoomScaleNormal="100" workbookViewId="0">
      <selection activeCell="L16" sqref="L16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19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52</v>
      </c>
    </row>
    <row r="5" spans="1:12" ht="16.2" thickBot="1" x14ac:dyDescent="0.35">
      <c r="A5" s="120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20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20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20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121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22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23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23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23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23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65">
        <f>IF(OR(Resultados!F16="",Resultados!G16=""),"",IF(AND(F16=Resultados!F16,G16=Resultados!G16),2,IF(((F16&gt;G16)=(Resultados!F16&gt;Resultados!G16))*((F16&lt;G16)=(Resultados!F16&lt;Resultados!G16)),1,0)))</f>
        <v>1</v>
      </c>
    </row>
    <row r="17" spans="1:10" ht="16.2" thickBot="1" x14ac:dyDescent="0.35">
      <c r="A17" s="124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25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6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6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64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26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64">
        <f>IF(OR(Resultados!F23="",Resultados!G23=""),"",IF(AND(F23=Resultados!F23,G23=Resultados!G23),2,IF(((F23&gt;G23)=(Resultados!F23&gt;Resultados!G23))*((F23&lt;G23)=(Resultados!F23&lt;Resultados!G23)),1,0)))</f>
        <v>2</v>
      </c>
    </row>
    <row r="24" spans="1:10" ht="16.2" thickBot="1" x14ac:dyDescent="0.35">
      <c r="A24" s="126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27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16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7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7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7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7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18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34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5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5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35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35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64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36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37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8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8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138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138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139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40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41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141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141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141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64">
        <f>IF(OR(Resultados!F56="",Resultados!G56=""),"",IF(AND(F56=Resultados!F56,G56=Resultados!G56),2,IF(((F56&gt;G56)=(Resultados!F56&gt;Resultados!G56))*((F56&lt;G56)=(Resultados!F56&lt;Resultados!G56)),1,0)))</f>
        <v>2</v>
      </c>
    </row>
    <row r="57" spans="1:10" ht="16.2" thickBot="1" x14ac:dyDescent="0.35">
      <c r="A57" s="142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43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44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44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144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144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65">
        <f>IF(OR(Resultados!F64="",Resultados!G64=""),"",IF(AND(F64=Resultados!F64,G64=Resultados!G64),2,IF(((F64&gt;G64)=(Resultados!F64&gt;Resultados!G64))*((F64&lt;G64)=(Resultados!F64&lt;Resultados!G64)),1,0)))</f>
        <v>1</v>
      </c>
    </row>
    <row r="65" spans="1:10" ht="16.2" thickBot="1" x14ac:dyDescent="0.35">
      <c r="A65" s="145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65">
        <f>IF(OR(Resultados!F65="",Resultados!G65=""),"",IF(AND(F65=Resultados!F65,G65=Resultados!G65),2,IF(((F65&gt;G65)=(Resultados!F65&gt;Resultados!G65))*((F65&lt;G65)=(Resultados!F65&lt;Resultados!G65)),1,0)))</f>
        <v>1</v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46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47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47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147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147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65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148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65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49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50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50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150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65">
        <f>IF(OR(Resultados!F79="",Resultados!G79=""),"",IF(AND(F79=Resultados!F79,G79=Resultados!G79),2,IF(((F79&gt;G79)=(Resultados!F79&gt;Resultados!G79))*((F79&lt;G79)=(Resultados!F79&lt;Resultados!G79)),1,0)))</f>
        <v>1</v>
      </c>
    </row>
    <row r="80" spans="1:10" ht="16.2" thickBot="1" x14ac:dyDescent="0.35">
      <c r="A80" s="150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>
        <f>IF(OR(Resultados!F80="",Resultados!G80=""),"",IF(AND(F80=Resultados!F80,G80=Resultados!G80),2,IF(((F80&gt;G80)=(Resultados!F80&gt;Resultados!G80))*((F80&lt;G80)=(Resultados!F80&lt;Resultados!G80)),1,0)))</f>
        <v>1</v>
      </c>
    </row>
    <row r="81" spans="1:10" ht="16.2" thickBot="1" x14ac:dyDescent="0.35">
      <c r="A81" s="151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>
        <f>IF(OR(Resultados!F81="",Resultados!G81=""),"",IF(AND(F81=Resultados!F81,G81=Resultados!G81),2,IF(((F81&gt;G81)=(Resultados!F81&gt;Resultados!G81))*((F81&lt;G81)=(Resultados!F81&lt;Resultados!G81)),1,0)))</f>
        <v>1</v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28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29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29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129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129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>
        <f>IF(OR(Resultados!F88="",Resultados!G88=""),"",IF(AND(F88=Resultados!F88,G88=Resultados!G88),2,IF(((F88&gt;G88)=(Resultados!F88&gt;Resultados!G88))*((F88&lt;G88)=(Resultados!F88&lt;Resultados!G88)),1,0)))</f>
        <v>0</v>
      </c>
    </row>
    <row r="89" spans="1:10" ht="16.2" thickBot="1" x14ac:dyDescent="0.35">
      <c r="A89" s="130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>
        <f>IF(OR(Resultados!F89="",Resultados!G89=""),"",IF(AND(F89=Resultados!F89,G89=Resultados!G89),2,IF(((F89&gt;G89)=(Resultados!F89&gt;Resultados!G89))*((F89&lt;G89)=(Resultados!F89&lt;Resultados!G89)),1,0)))</f>
        <v>0</v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31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32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132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132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132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64">
        <f>IF(OR(Resultados!F96="",Resultados!G96=""),"",IF(AND(F96=Resultados!F96,G96=Resultados!G96),2,IF(((F96&gt;G96)=(Resultados!F96&gt;Resultados!G96))*((F96&lt;G96)=(Resultados!F96&lt;Resultados!G96)),1,0)))</f>
        <v>2</v>
      </c>
    </row>
    <row r="97" spans="1:10" ht="16.2" thickBot="1" x14ac:dyDescent="0.35">
      <c r="A97" s="133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64">
        <f>IF(OR(Resultados!F97="",Resultados!G97=""),"",IF(AND(F97=Resultados!F97,G97=Resultados!G97),2,IF(((F97&gt;G97)=(Resultados!F97&gt;Resultados!G97))*((F97&lt;G97)=(Resultados!F97&lt;Resultados!G97)),1,0)))</f>
        <v>2</v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zoomScaleNormal="100" workbookViewId="0">
      <selection activeCell="O96" sqref="O96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19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40</v>
      </c>
    </row>
    <row r="5" spans="1:12" ht="16.2" thickBot="1" x14ac:dyDescent="0.35">
      <c r="A5" s="120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20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20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20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121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22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23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23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23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23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24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25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6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6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0</v>
      </c>
    </row>
    <row r="23" spans="1:10" ht="16.2" thickBot="1" x14ac:dyDescent="0.35">
      <c r="A23" s="126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26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27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>
        <f>IF(OR(Resultados!F25="",Resultados!G25=""),"",IF(AND(F25=Resultados!F25,G25=Resultados!G25),2,IF(((F25&gt;G25)=(Resultados!F25&gt;Resultados!G25))*((F25&lt;G25)=(Resultados!F25&lt;Resultados!G25)),1,0)))</f>
        <v>0</v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16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7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17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7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64">
        <f>IF(OR(Resultados!F31="",Resultados!G31=""),"",IF(AND(F31=Resultados!F31,G31=Resultados!G31),2,IF(((F31&gt;G31)=(Resultados!F31&gt;Resultados!G31))*((F31&lt;G31)=(Resultados!F31&lt;Resultados!G31)),1,0)))</f>
        <v>2</v>
      </c>
    </row>
    <row r="32" spans="1:10" ht="16.2" thickBot="1" x14ac:dyDescent="0.35">
      <c r="A32" s="117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18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34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5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5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35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35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0</v>
      </c>
    </row>
    <row r="41" spans="1:10" ht="16.2" thickBot="1" x14ac:dyDescent="0.35">
      <c r="A41" s="136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37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8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8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138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138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64">
        <f>IF(OR(Resultados!F48="",Resultados!G48=""),"",IF(AND(F48=Resultados!F48,G48=Resultados!G48),2,IF(((F48&gt;G48)=(Resultados!F48&gt;Resultados!G48))*((F48&lt;G48)=(Resultados!F48&lt;Resultados!G48)),1,0)))</f>
        <v>2</v>
      </c>
    </row>
    <row r="49" spans="1:10" ht="16.2" thickBot="1" x14ac:dyDescent="0.35">
      <c r="A49" s="139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40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41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141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65">
        <f>IF(OR(Resultados!F54="",Resultados!G54=""),"",IF(AND(F54=Resultados!F54,G54=Resultados!G54),2,IF(((F54&gt;G54)=(Resultados!F54&gt;Resultados!G54))*((F54&lt;G54)=(Resultados!F54&lt;Resultados!G54)),1,0)))</f>
        <v>1</v>
      </c>
    </row>
    <row r="55" spans="1:10" ht="16.2" thickBot="1" x14ac:dyDescent="0.35">
      <c r="A55" s="141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>
        <f>IF(OR(Resultados!F55="",Resultados!G55=""),"",IF(AND(F55=Resultados!F55,G55=Resultados!G55),2,IF(((F55&gt;G55)=(Resultados!F55&gt;Resultados!G55))*((F55&lt;G55)=(Resultados!F55&lt;Resultados!G55)),1,0)))</f>
        <v>0</v>
      </c>
    </row>
    <row r="56" spans="1:10" ht="16.2" thickBot="1" x14ac:dyDescent="0.35">
      <c r="A56" s="141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>
        <f>IF(OR(Resultados!F56="",Resultados!G56=""),"",IF(AND(F56=Resultados!F56,G56=Resultados!G56),2,IF(((F56&gt;G56)=(Resultados!F56&gt;Resultados!G56))*((F56&lt;G56)=(Resultados!F56&lt;Resultados!G56)),1,0)))</f>
        <v>0</v>
      </c>
    </row>
    <row r="57" spans="1:10" ht="16.2" thickBot="1" x14ac:dyDescent="0.35">
      <c r="A57" s="142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43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44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44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144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144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65">
        <f>IF(OR(Resultados!F64="",Resultados!G64=""),"",IF(AND(F64=Resultados!F64,G64=Resultados!G64),2,IF(((F64&gt;G64)=(Resultados!F64&gt;Resultados!G64))*((F64&lt;G64)=(Resultados!F64&lt;Resultados!G64)),1,0)))</f>
        <v>1</v>
      </c>
    </row>
    <row r="65" spans="1:10" ht="16.2" thickBot="1" x14ac:dyDescent="0.35">
      <c r="A65" s="145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>
        <f>IF(OR(Resultados!F65="",Resultados!G65=""),"",IF(AND(F65=Resultados!F65,G65=Resultados!G65),2,IF(((F65&gt;G65)=(Resultados!F65&gt;Resultados!G65))*((F65&lt;G65)=(Resultados!F65&lt;Resultados!G65)),1,0)))</f>
        <v>0</v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46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47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47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147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147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65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148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0</v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49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50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50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150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150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>
        <f>IF(OR(Resultados!F80="",Resultados!G80=""),"",IF(AND(F80=Resultados!F80,G80=Resultados!G80),2,IF(((F80&gt;G80)=(Resultados!F80&gt;Resultados!G80))*((F80&lt;G80)=(Resultados!F80&lt;Resultados!G80)),1,0)))</f>
        <v>0</v>
      </c>
    </row>
    <row r="81" spans="1:10" ht="16.2" thickBot="1" x14ac:dyDescent="0.35">
      <c r="A81" s="151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>
        <f>IF(OR(Resultados!F81="",Resultados!G81=""),"",IF(AND(F81=Resultados!F81,G81=Resultados!G81),2,IF(((F81&gt;G81)=(Resultados!F81&gt;Resultados!G81))*((F81&lt;G81)=(Resultados!F81&lt;Resultados!G81)),1,0)))</f>
        <v>1</v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28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29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29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129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129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>
        <f>IF(OR(Resultados!F88="",Resultados!G88=""),"",IF(AND(F88=Resultados!F88,G88=Resultados!G88),2,IF(((F88&gt;G88)=(Resultados!F88&gt;Resultados!G88))*((F88&lt;G88)=(Resultados!F88&lt;Resultados!G88)),1,0)))</f>
        <v>0</v>
      </c>
    </row>
    <row r="89" spans="1:10" ht="16.2" thickBot="1" x14ac:dyDescent="0.35">
      <c r="A89" s="130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>
        <f>IF(OR(Resultados!F89="",Resultados!G89=""),"",IF(AND(F89=Resultados!F89,G89=Resultados!G89),2,IF(((F89&gt;G89)=(Resultados!F89&gt;Resultados!G89))*((F89&lt;G89)=(Resultados!F89&lt;Resultados!G89)),1,0)))</f>
        <v>0</v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31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32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132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132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>
        <f>IF(OR(Resultados!F95="",Resultados!G95=""),"",IF(AND(F95=Resultados!F95,G95=Resultados!G95),2,IF(((F95&gt;G95)=(Resultados!F95&gt;Resultados!G95))*((F95&lt;G95)=(Resultados!F95&lt;Resultados!G95)),1,0)))</f>
        <v>0</v>
      </c>
    </row>
    <row r="96" spans="1:10" ht="16.2" thickBot="1" x14ac:dyDescent="0.35">
      <c r="A96" s="132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65">
        <f>IF(OR(Resultados!F96="",Resultados!G96=""),"",IF(AND(F96=Resultados!F96,G96=Resultados!G96),2,IF(((F96&gt;G96)=(Resultados!F96&gt;Resultados!G96))*((F96&lt;G96)=(Resultados!F96&lt;Resultados!G96)),1,0)))</f>
        <v>1</v>
      </c>
    </row>
    <row r="97" spans="1:10" ht="16.2" thickBot="1" x14ac:dyDescent="0.35">
      <c r="A97" s="133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65">
        <f>IF(OR(Resultados!F97="",Resultados!G97=""),"",IF(AND(F97=Resultados!F97,G97=Resultados!G97),2,IF(((F97&gt;G97)=(Resultados!F97&gt;Resultados!G97))*((F97&lt;G97)=(Resultados!F97&lt;Resultados!G97)),1,0)))</f>
        <v>1</v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78" zoomScaleNormal="100" workbookViewId="0">
      <selection activeCell="L14" sqref="L1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49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65">
        <f>IF(OR(Resultados!F33="",Resultados!G33=""),"",IF(AND(F33=Resultados!F33,G33=Resultados!G33),2,IF(((F33&gt;G33)=(Resultados!F33&gt;Resultados!G33))*((F33&lt;G33)=(Resultados!F33&lt;Resultados!G33)),1,0)))</f>
        <v>1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65">
        <f>IF(OR(Resultados!F40="",Resultados!G40=""),"",IF(AND(F40=Resultados!F40,G40=Resultados!G40),2,IF(((F40&gt;G40)=(Resultados!F40&gt;Resultados!G40))*((F40&lt;G40)=(Resultados!F40&lt;Resultados!G40)),1,0)))</f>
        <v>1</v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>
        <f>IF(OR(Resultados!F49="",Resultados!G49=""),"",IF(AND(F49=Resultados!F49,G49=Resultados!G49),2,IF(((F49&gt;G49)=(Resultados!F49&gt;Resultados!G49))*((F49&lt;G49)=(Resultados!F49&lt;Resultados!G49)),1,0)))</f>
        <v>0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64">
        <f>IF(OR(Resultados!F53="",Resultados!G53=""),"",IF(AND(F53=Resultados!F53,G53=Resultados!G53),2,IF(((F53&gt;G53)=(Resultados!F53&gt;Resultados!G53))*((F53&lt;G53)=(Resultados!F53&lt;Resultados!G53)),1,0)))</f>
        <v>2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65">
        <f>IF(OR(Resultados!F56="",Resultados!G56=""),"",IF(AND(F56=Resultados!F56,G56=Resultados!G56),2,IF(((F56&gt;G56)=(Resultados!F56&gt;Resultados!G56))*((F56&lt;G56)=(Resultados!F56&lt;Resultados!G56)),1,0)))</f>
        <v>1</v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65">
        <f>IF(OR(Resultados!F64="",Resultados!G64=""),"",IF(AND(F64=Resultados!F64,G64=Resultados!G64),2,IF(((F64&gt;G64)=(Resultados!F64&gt;Resultados!G64))*((F64&lt;G64)=(Resultados!F64&lt;Resultados!G64)),1,0)))</f>
        <v>1</v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65">
        <f>IF(OR(Resultados!F65="",Resultados!G65=""),"",IF(AND(F65=Resultados!F65,G65=Resultados!G65),2,IF(((F65&gt;G65)=(Resultados!F65&gt;Resultados!G65))*((F65&lt;G65)=(Resultados!F65&lt;Resultados!G65)),1,0)))</f>
        <v>1</v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65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65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>
        <f>IF(OR(Resultados!F80="",Resultados!G80=""),"",IF(AND(F80=Resultados!F80,G80=Resultados!G80),2,IF(((F80&gt;G80)=(Resultados!F80&gt;Resultados!G80))*((F80&lt;G80)=(Resultados!F80&lt;Resultados!G80)),1,0)))</f>
        <v>0</v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>
        <f>IF(OR(Resultados!F81="",Resultados!G81=""),"",IF(AND(F81=Resultados!F81,G81=Resultados!G81),2,IF(((F81&gt;G81)=(Resultados!F81&gt;Resultados!G81))*((F81&lt;G81)=(Resultados!F81&lt;Resultados!G81)),1,0)))</f>
        <v>1</v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>
        <f>IF(OR(Resultados!F88="",Resultados!G88=""),"",IF(AND(F88=Resultados!F88,G88=Resultados!G88),2,IF(((F88&gt;G88)=(Resultados!F88&gt;Resultados!G88))*((F88&lt;G88)=(Resultados!F88&lt;Resultados!G88)),1,0)))</f>
        <v>0</v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65">
        <f>IF(OR(Resultados!F89="",Resultados!G89=""),"",IF(AND(F89=Resultados!F89,G89=Resultados!G89),2,IF(((F89&gt;G89)=(Resultados!F89&gt;Resultados!G89))*((F89&lt;G89)=(Resultados!F89&lt;Resultados!G89)),1,0)))</f>
        <v>1</v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65">
        <f>IF(OR(Resultados!F94="",Resultados!G94=""),"",IF(AND(F94=Resultados!F94,G94=Resultados!G94),2,IF(((F94&gt;G94)=(Resultados!F94&gt;Resultados!G94))*((F94&lt;G94)=(Resultados!F94&lt;Resultados!G94)),1,0)))</f>
        <v>1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64">
        <f>IF(OR(Resultados!F95="",Resultados!G95=""),"",IF(AND(F95=Resultados!F95,G95=Resultados!G95),2,IF(((F95&gt;G95)=(Resultados!F95&gt;Resultados!G95))*((F95&lt;G95)=(Resultados!F95&lt;Resultados!G95)),1,0)))</f>
        <v>2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64">
        <f>IF(OR(Resultados!F96="",Resultados!G96=""),"",IF(AND(F96=Resultados!F96,G96=Resultados!G96),2,IF(((F96&gt;G96)=(Resultados!F96&gt;Resultados!G96))*((F96&lt;G96)=(Resultados!F96&lt;Resultados!G96)),1,0)))</f>
        <v>2</v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>
        <f>IF(OR(Resultados!F97="",Resultados!G97=""),"",IF(AND(F97=Resultados!F97,G97=Resultados!G97),2,IF(((F97&gt;G97)=(Resultados!F97&gt;Resultados!G97))*((F97&lt;G97)=(Resultados!F97&lt;Resultados!G97)),1,0)))</f>
        <v>0</v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topLeftCell="A78" zoomScaleNormal="100" workbookViewId="0">
      <selection activeCell="L90" sqref="L9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48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64">
        <f>IF(OR(Resultados!F16="",Resultados!G16=""),"",IF(AND(F16=Resultados!F16,G16=Resultados!G16),2,IF(((F16&gt;G16)=(Resultados!F16&gt;Resultados!G16))*((F16&lt;G16)=(Resultados!F16&lt;Resultados!G16)),1,0)))</f>
        <v>2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64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64">
        <f>IF(OR(Resultados!F24="",Resultados!G24=""),"",IF(AND(F24=Resultados!F24,G24=Resultados!G24),2,IF(((F24&gt;G24)=(Resultados!F24&gt;Resultados!G24))*((F24&lt;G24)=(Resultados!F24&lt;Resultados!G24)),1,0)))</f>
        <v>2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64">
        <f>IF(OR(Resultados!F38="",Resultados!G38=""),"",IF(AND(F38=Resultados!F38,G38=Resultados!G38),2,IF(((F38&gt;G38)=(Resultados!F38&gt;Resultados!G38))*((F38&lt;G38)=(Resultados!F38&lt;Resultados!G38)),1,0)))</f>
        <v>2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64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>
        <f>IF(OR(Resultados!F56="",Resultados!G56=""),"",IF(AND(F56=Resultados!F56,G56=Resultados!G56),2,IF(((F56&gt;G56)=(Resultados!F56&gt;Resultados!G56))*((F56&lt;G56)=(Resultados!F56&lt;Resultados!G56)),1,0)))</f>
        <v>0</v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>
        <f>IF(OR(Resultados!F64="",Resultados!G64=""),"",IF(AND(F64=Resultados!F64,G64=Resultados!G64),2,IF(((F64&gt;G64)=(Resultados!F64&gt;Resultados!G64))*((F64&lt;G64)=(Resultados!F64&lt;Resultados!G64)),1,0)))</f>
        <v>0</v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65">
        <f>IF(OR(Resultados!F65="",Resultados!G65=""),"",IF(AND(F65=Resultados!F65,G65=Resultados!G65),2,IF(((F65&gt;G65)=(Resultados!F65&gt;Resultados!G65))*((F65&lt;G65)=(Resultados!F65&lt;Resultados!G65)),1,0)))</f>
        <v>1</v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65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65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>
        <f>IF(OR(Resultados!F80="",Resultados!G80=""),"",IF(AND(F80=Resultados!F80,G80=Resultados!G80),2,IF(((F80&gt;G80)=(Resultados!F80&gt;Resultados!G80))*((F80&lt;G80)=(Resultados!F80&lt;Resultados!G80)),1,0)))</f>
        <v>0</v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>
        <f>IF(OR(Resultados!F81="",Resultados!G81=""),"",IF(AND(F81=Resultados!F81,G81=Resultados!G81),2,IF(((F81&gt;G81)=(Resultados!F81&gt;Resultados!G81))*((F81&lt;G81)=(Resultados!F81&lt;Resultados!G81)),1,0)))</f>
        <v>1</v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>
        <f>IF(OR(Resultados!F88="",Resultados!G88=""),"",IF(AND(F88=Resultados!F88,G88=Resultados!G88),2,IF(((F88&gt;G88)=(Resultados!F88&gt;Resultados!G88))*((F88&lt;G88)=(Resultados!F88&lt;Resultados!G88)),1,0)))</f>
        <v>0</v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>
        <f>IF(OR(Resultados!F89="",Resultados!G89=""),"",IF(AND(F89=Resultados!F89,G89=Resultados!G89),2,IF(((F89&gt;G89)=(Resultados!F89&gt;Resultados!G89))*((F89&lt;G89)=(Resultados!F89&lt;Resultados!G89)),1,0)))</f>
        <v>0</v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65">
        <f>IF(OR(Resultados!F96="",Resultados!G96=""),"",IF(AND(F96=Resultados!F96,G96=Resultados!G96),2,IF(((F96&gt;G96)=(Resultados!F96&gt;Resultados!G96))*((F96&lt;G96)=(Resultados!F96&lt;Resultados!G96)),1,0)))</f>
        <v>1</v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65">
        <f>IF(OR(Resultados!F97="",Resultados!G97=""),"",IF(AND(F97=Resultados!F97,G97=Resultados!G97),2,IF(((F97&gt;G97)=(Resultados!F97&gt;Resultados!G97))*((F97&lt;G97)=(Resultados!F97&lt;Resultados!G97)),1,0)))</f>
        <v>1</v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topLeftCell="A78" zoomScaleNormal="100" workbookViewId="0">
      <selection activeCell="M93" sqref="M9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55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66">
        <v>3</v>
      </c>
      <c r="G6" s="66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66">
        <v>1</v>
      </c>
      <c r="G7" s="66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66">
        <v>1</v>
      </c>
      <c r="G14" s="66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66">
        <v>2</v>
      </c>
      <c r="G15" s="66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62">
        <v>1</v>
      </c>
      <c r="G21" s="62">
        <v>3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64">
        <f>IF(OR(Resultados!F23="",Resultados!G23=""),"",IF(AND(F23=Resultados!F23,G23=Resultados!G23),2,IF(((F23&gt;G23)=(Resultados!F23&gt;Resultados!G23))*((F23&lt;G23)=(Resultados!F23&lt;Resultados!G23)),1,0)))</f>
        <v>2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65">
        <f>IF(OR(Resultados!F33="",Resultados!G33=""),"",IF(AND(F33=Resultados!F33,G33=Resultados!G33),2,IF(((F33&gt;G33)=(Resultados!F33&gt;Resultados!G33))*((F33&lt;G33)=(Resultados!F33&lt;Resultados!G33)),1,0)))</f>
        <v>1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4</v>
      </c>
      <c r="G38" s="25">
        <v>2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1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64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3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2</v>
      </c>
      <c r="H48" s="21" t="s">
        <v>38</v>
      </c>
      <c r="J48" s="65">
        <f>IF(OR(Resultados!F48="",Resultados!G48=""),"",IF(AND(F48=Resultados!F48,G48=Resultados!G48),2,IF(((F48&gt;G48)=(Resultados!F48&gt;Resultados!G48))*((F48&lt;G48)=(Resultados!F48&lt;Resultados!G48)),1,0)))</f>
        <v>1</v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4</v>
      </c>
      <c r="G54" s="25">
        <v>1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1</v>
      </c>
      <c r="G55" s="25">
        <v>3</v>
      </c>
      <c r="H55" s="21" t="s">
        <v>42</v>
      </c>
      <c r="J55" s="64">
        <f>IF(OR(Resultados!F55="",Resultados!G55=""),"",IF(AND(F55=Resultados!F55,G55=Resultados!G55),2,IF(((F55&gt;G55)=(Resultados!F55&gt;Resultados!G55))*((F55&lt;G55)=(Resultados!F55&lt;Resultados!G55)),1,0)))</f>
        <v>2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>
        <f>IF(OR(Resultados!F56="",Resultados!G56=""),"",IF(AND(F56=Resultados!F56,G56=Resultados!G56),2,IF(((F56&gt;G56)=(Resultados!F56&gt;Resultados!G56))*((F56&lt;G56)=(Resultados!F56&lt;Resultados!G56)),1,0)))</f>
        <v>0</v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2</v>
      </c>
      <c r="H57" s="21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4</v>
      </c>
      <c r="G62" s="25">
        <v>1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1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1</v>
      </c>
      <c r="H64" s="21" t="s">
        <v>48</v>
      </c>
      <c r="J64" s="65">
        <f>IF(OR(Resultados!F64="",Resultados!G64=""),"",IF(AND(F64=Resultados!F64,G64=Resultados!G64),2,IF(((F64&gt;G64)=(Resultados!F64&gt;Resultados!G64))*((F64&lt;G64)=(Resultados!F64&lt;Resultados!G64)),1,0)))</f>
        <v>1</v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65">
        <f>IF(OR(Resultados!F65="",Resultados!G65=""),"",IF(AND(F65=Resultados!F65,G65=Resultados!G65),2,IF(((F65&gt;G65)=(Resultados!F65&gt;Resultados!G65))*((F65&lt;G65)=(Resultados!F65&lt;Resultados!G65)),1,0)))</f>
        <v>1</v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2</v>
      </c>
      <c r="H72" s="21" t="s">
        <v>51</v>
      </c>
      <c r="J72" s="65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65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0</v>
      </c>
      <c r="G79" s="25">
        <v>2</v>
      </c>
      <c r="H79" s="21" t="s">
        <v>57</v>
      </c>
      <c r="J79" s="65">
        <f>IF(OR(Resultados!F79="",Resultados!G79=""),"",IF(AND(F79=Resultados!F79,G79=Resultados!G79),2,IF(((F79&gt;G79)=(Resultados!F79&gt;Resultados!G79))*((F79&lt;G79)=(Resultados!F79&lt;Resultados!G79)),1,0)))</f>
        <v>1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>
        <f>IF(OR(Resultados!F80="",Resultados!G80=""),"",IF(AND(F80=Resultados!F80,G80=Resultados!G80),2,IF(((F80&gt;G80)=(Resultados!F80&gt;Resultados!G80))*((F80&lt;G80)=(Resultados!F80&lt;Resultados!G80)),1,0)))</f>
        <v>1</v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>
        <f>IF(OR(Resultados!F81="",Resultados!G81=""),"",IF(AND(F81=Resultados!F81,G81=Resultados!G81),2,IF(((F81&gt;G81)=(Resultados!F81&gt;Resultados!G81))*((F81&lt;G81)=(Resultados!F81&lt;Resultados!G81)),1,0)))</f>
        <v>1</v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3</v>
      </c>
      <c r="H88" s="21" t="s">
        <v>61</v>
      </c>
      <c r="J88" s="1">
        <f>IF(OR(Resultados!F88="",Resultados!G88=""),"",IF(AND(F88=Resultados!F88,G88=Resultados!G88),2,IF(((F88&gt;G88)=(Resultados!F88&gt;Resultados!G88))*((F88&lt;G88)=(Resultados!F88&lt;Resultados!G88)),1,0)))</f>
        <v>0</v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2</v>
      </c>
      <c r="G89" s="25">
        <v>1</v>
      </c>
      <c r="H89" s="21" t="s">
        <v>63</v>
      </c>
      <c r="J89" s="65">
        <f>IF(OR(Resultados!F89="",Resultados!G89=""),"",IF(AND(F89=Resultados!F89,G89=Resultados!G89),2,IF(((F89&gt;G89)=(Resultados!F89&gt;Resultados!G89))*((F89&lt;G89)=(Resultados!F89&lt;Resultados!G89)),1,0)))</f>
        <v>1</v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3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64">
        <f>IF(OR(Resultados!F96="",Resultados!G96=""),"",IF(AND(F96=Resultados!F96,G96=Resultados!G96),2,IF(((F96&gt;G96)=(Resultados!F96&gt;Resultados!G96))*((F96&lt;G96)=(Resultados!F96&lt;Resultados!G96)),1,0)))</f>
        <v>2</v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1</v>
      </c>
      <c r="G97" s="25">
        <v>1</v>
      </c>
      <c r="H97" s="21" t="s">
        <v>68</v>
      </c>
      <c r="J97" s="1">
        <f>IF(OR(Resultados!F97="",Resultados!G97=""),"",IF(AND(F97=Resultados!F97,G97=Resultados!G97),2,IF(((F97&gt;G97)=(Resultados!F97&gt;Resultados!G97))*((F97&lt;G97)=(Resultados!F97&lt;Resultados!G97)),1,0)))</f>
        <v>0</v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topLeftCell="A52" zoomScaleNormal="100" workbookViewId="0">
      <selection activeCell="L60" sqref="L6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42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64">
        <f>IF(OR(Resultados!F24="",Resultados!G24=""),"",IF(AND(F24=Resultados!F24,G24=Resultados!G24),2,IF(((F24&gt;G24)=(Resultados!F24&gt;Resultados!G24))*((F24&lt;G24)=(Resultados!F24&lt;Resultados!G24)),1,0)))</f>
        <v>2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64">
        <f>IF(OR(Resultados!F38="",Resultados!G38=""),"",IF(AND(F38=Resultados!F38,G38=Resultados!G38),2,IF(((F38&gt;G38)=(Resultados!F38&gt;Resultados!G38))*((F38&lt;G38)=(Resultados!F38&lt;Resultados!G38)),1,0)))</f>
        <v>2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64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65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0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65">
        <f>IF(OR(Resultados!F54="",Resultados!G54=""),"",IF(AND(F54=Resultados!F54,G54=Resultados!G54),2,IF(((F54&gt;G54)=(Resultados!F54&gt;Resultados!G54))*((F54&lt;G54)=(Resultados!F54&lt;Resultados!G54)),1,0)))</f>
        <v>1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64">
        <f>IF(OR(Resultados!F56="",Resultados!G56=""),"",IF(AND(F56=Resultados!F56,G56=Resultados!G56),2,IF(((F56&gt;G56)=(Resultados!F56&gt;Resultados!G56))*((F56&lt;G56)=(Resultados!F56&lt;Resultados!G56)),1,0)))</f>
        <v>2</v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>
        <f>IF(OR(Resultados!F64="",Resultados!G64=""),"",IF(AND(F64=Resultados!F64,G64=Resultados!G64),2,IF(((F64&gt;G64)=(Resultados!F64&gt;Resultados!G64))*((F64&lt;G64)=(Resultados!F64&lt;Resultados!G64)),1,0)))</f>
        <v>0</v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>
        <f>IF(OR(Resultados!F65="",Resultados!G65=""),"",IF(AND(F65=Resultados!F65,G65=Resultados!G65),2,IF(((F65&gt;G65)=(Resultados!F65&gt;Resultados!G65))*((F65&lt;G65)=(Resultados!F65&lt;Resultados!G65)),1,0)))</f>
        <v>0</v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0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65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0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>
        <f>IF(OR(Resultados!F80="",Resultados!G80=""),"",IF(AND(F80=Resultados!F80,G80=Resultados!G80),2,IF(((F80&gt;G80)=(Resultados!F80&gt;Resultados!G80))*((F80&lt;G80)=(Resultados!F80&lt;Resultados!G80)),1,0)))</f>
        <v>0</v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>
        <f>IF(OR(Resultados!F81="",Resultados!G81=""),"",IF(AND(F81=Resultados!F81,G81=Resultados!G81),2,IF(((F81&gt;G81)=(Resultados!F81&gt;Resultados!G81))*((F81&lt;G81)=(Resultados!F81&lt;Resultados!G81)),1,0)))</f>
        <v>1</v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65">
        <f>IF(OR(Resultados!F88="",Resultados!G88=""),"",IF(AND(F88=Resultados!F88,G88=Resultados!G88),2,IF(((F88&gt;G88)=(Resultados!F88&gt;Resultados!G88))*((F88&lt;G88)=(Resultados!F88&lt;Resultados!G88)),1,0)))</f>
        <v>1</v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>
        <f>IF(OR(Resultados!F89="",Resultados!G89=""),"",IF(AND(F89=Resultados!F89,G89=Resultados!G89),2,IF(((F89&gt;G89)=(Resultados!F89&gt;Resultados!G89))*((F89&lt;G89)=(Resultados!F89&lt;Resultados!G89)),1,0)))</f>
        <v>0</v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65">
        <f>IF(OR(Resultados!F96="",Resultados!G96=""),"",IF(AND(F96=Resultados!F96,G96=Resultados!G96),2,IF(((F96&gt;G96)=(Resultados!F96&gt;Resultados!G96))*((F96&lt;G96)=(Resultados!F96&lt;Resultados!G96)),1,0)))</f>
        <v>1</v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64">
        <f>IF(OR(Resultados!F97="",Resultados!G97=""),"",IF(AND(F97=Resultados!F97,G97=Resultados!G97),2,IF(((F97&gt;G97)=(Resultados!F97&gt;Resultados!G97))*((F97&lt;G97)=(Resultados!F97&lt;Resultados!G97)),1,0)))</f>
        <v>2</v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zoomScaleNormal="100" workbookViewId="0">
      <selection activeCell="L17" sqref="L1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46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64">
        <f>IF(OR(Resultados!F6="",Resultados!G6=""),"",IF(AND(F6=Resultados!F6,G6=Resultados!G6),2,IF(((F6&gt;G6)=(Resultados!F6&gt;Resultados!G6))*((F6&lt;G6)=(Resultados!F6&lt;Resultados!G6)),1,0)))</f>
        <v>2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>
        <f>IF(OR(Resultados!F8="",Resultados!G8=""),"",IF(AND(F8=Resultados!F8,G8=Resultados!G8),2,IF(((F8&gt;G8)=(Resultados!F8&gt;Resultados!G8))*((F8&lt;G8)=(Resultados!F8&lt;Resultados!G8)),1,0)))</f>
        <v>0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64">
        <f>IF(OR(Resultados!F16="",Resultados!G16=""),"",IF(AND(F16=Resultados!F16,G16=Resultados!G16),2,IF(((F16&gt;G16)=(Resultados!F16&gt;Resultados!G16))*((F16&lt;G16)=(Resultados!F16&lt;Resultados!G16)),1,0)))</f>
        <v>2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65">
        <f>IF(OR(Resultados!F31="",Resultados!G31=""),"",IF(AND(F31=Resultados!F31,G31=Resultados!G31),2,IF(((F31&gt;G31)=(Resultados!F31&gt;Resultados!G31))*((F31&lt;G31)=(Resultados!F31&lt;Resultados!G31)),1,0)))</f>
        <v>1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0</v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64">
        <f>IF(OR(Resultados!F56="",Resultados!G56=""),"",IF(AND(F56=Resultados!F56,G56=Resultados!G56),2,IF(((F56&gt;G56)=(Resultados!F56&gt;Resultados!G56))*((F56&lt;G56)=(Resultados!F56&lt;Resultados!G56)),1,0)))</f>
        <v>2</v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>
        <f>IF(OR(Resultados!F64="",Resultados!G64=""),"",IF(AND(F64=Resultados!F64,G64=Resultados!G64),2,IF(((F64&gt;G64)=(Resultados!F64&gt;Resultados!G64))*((F64&lt;G64)=(Resultados!F64&lt;Resultados!G64)),1,0)))</f>
        <v>0</v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65">
        <f>IF(OR(Resultados!F65="",Resultados!G65=""),"",IF(AND(F65=Resultados!F65,G65=Resultados!G65),2,IF(((F65&gt;G65)=(Resultados!F65&gt;Resultados!G65))*((F65&lt;G65)=(Resultados!F65&lt;Resultados!G65)),1,0)))</f>
        <v>1</v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65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65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>
        <f>IF(OR(Resultados!F80="",Resultados!G80=""),"",IF(AND(F80=Resultados!F80,G80=Resultados!G80),2,IF(((F80&gt;G80)=(Resultados!F80&gt;Resultados!G80))*((F80&lt;G80)=(Resultados!F80&lt;Resultados!G80)),1,0)))</f>
        <v>0</v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>
        <f>IF(OR(Resultados!F81="",Resultados!G81=""),"",IF(AND(F81=Resultados!F81,G81=Resultados!G81),2,IF(((F81&gt;G81)=(Resultados!F81&gt;Resultados!G81))*((F81&lt;G81)=(Resultados!F81&lt;Resultados!G81)),1,0)))</f>
        <v>1</v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65">
        <f>IF(OR(Resultados!F88="",Resultados!G88=""),"",IF(AND(F88=Resultados!F88,G88=Resultados!G88),2,IF(((F88&gt;G88)=(Resultados!F88&gt;Resultados!G88))*((F88&lt;G88)=(Resultados!F88&lt;Resultados!G88)),1,0)))</f>
        <v>1</v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>
        <f>IF(OR(Resultados!F89="",Resultados!G89=""),"",IF(AND(F89=Resultados!F89,G89=Resultados!G89),2,IF(((F89&gt;G89)=(Resultados!F89&gt;Resultados!G89))*((F89&lt;G89)=(Resultados!F89&lt;Resultados!G89)),1,0)))</f>
        <v>0</v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>
        <f>IF(OR(Resultados!F96="",Resultados!G96=""),"",IF(AND(F96=Resultados!F96,G96=Resultados!G96),2,IF(((F96&gt;G96)=(Resultados!F96&gt;Resultados!G96))*((F96&lt;G96)=(Resultados!F96&lt;Resultados!G96)),1,0)))</f>
        <v>0</v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65">
        <f>IF(OR(Resultados!F97="",Resultados!G97=""),"",IF(AND(F97=Resultados!F97,G97=Resultados!G97),2,IF(((F97&gt;G97)=(Resultados!F97&gt;Resultados!G97))*((F97&lt;G97)=(Resultados!F97&lt;Resultados!G97)),1,0)))</f>
        <v>1</v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topLeftCell="A81" zoomScaleNormal="100" workbookViewId="0">
      <selection activeCell="M95" sqref="M95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41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>
        <f>IF(OR(Resultados!F38="",Resultados!G38=""),"",IF(AND(F38=Resultados!F38,G38=Resultados!G38),2,IF(((F38&gt;G38)=(Resultados!F38&gt;Resultados!G38))*((F38&lt;G38)=(Resultados!F38&lt;Resultados!G38)),1,0)))</f>
        <v>0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64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64">
        <f>IF(OR(Resultados!F48="",Resultados!G48=""),"",IF(AND(F48=Resultados!F48,G48=Resultados!G48),2,IF(((F48&gt;G48)=(Resultados!F48&gt;Resultados!G48))*((F48&lt;G48)=(Resultados!F48&lt;Resultados!G48)),1,0)))</f>
        <v>2</v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>
        <f>IF(OR(Resultados!F56="",Resultados!G56=""),"",IF(AND(F56=Resultados!F56,G56=Resultados!G56),2,IF(((F56&gt;G56)=(Resultados!F56&gt;Resultados!G56))*((F56&lt;G56)=(Resultados!F56&lt;Resultados!G56)),1,0)))</f>
        <v>0</v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64">
        <f>IF(OR(Resultados!F64="",Resultados!G64=""),"",IF(AND(F64=Resultados!F64,G64=Resultados!G64),2,IF(((F64&gt;G64)=(Resultados!F64&gt;Resultados!G64))*((F64&lt;G64)=(Resultados!F64&lt;Resultados!G64)),1,0)))</f>
        <v>2</v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>
        <f>IF(OR(Resultados!F65="",Resultados!G65=""),"",IF(AND(F65=Resultados!F65,G65=Resultados!G65),2,IF(((F65&gt;G65)=(Resultados!F65&gt;Resultados!G65))*((F65&lt;G65)=(Resultados!F65&lt;Resultados!G65)),1,0)))</f>
        <v>0</v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>
        <f>IF(OR(Resultados!F72="",Resultados!G72=""),"",IF(AND(F72=Resultados!F72,G72=Resultados!G72),2,IF(((F72&gt;G72)=(Resultados!F72&gt;Resultados!G72))*((F72&lt;G72)=(Resultados!F72&lt;Resultados!G72)),1,0)))</f>
        <v>0</v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65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>
        <f>IF(OR(Resultados!F80="",Resultados!G80=""),"",IF(AND(F80=Resultados!F80,G80=Resultados!G80),2,IF(((F80&gt;G80)=(Resultados!F80&gt;Resultados!G80))*((F80&lt;G80)=(Resultados!F80&lt;Resultados!G80)),1,0)))</f>
        <v>1</v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>
        <f>IF(OR(Resultados!F81="",Resultados!G81=""),"",IF(AND(F81=Resultados!F81,G81=Resultados!G81),2,IF(((F81&gt;G81)=(Resultados!F81&gt;Resultados!G81))*((F81&lt;G81)=(Resultados!F81&lt;Resultados!G81)),1,0)))</f>
        <v>1</v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>
        <f>IF(OR(Resultados!F88="",Resultados!G88=""),"",IF(AND(F88=Resultados!F88,G88=Resultados!G88),2,IF(((F88&gt;G88)=(Resultados!F88&gt;Resultados!G88))*((F88&lt;G88)=(Resultados!F88&lt;Resultados!G88)),1,0)))</f>
        <v>0</v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>
        <f>IF(OR(Resultados!F89="",Resultados!G89=""),"",IF(AND(F89=Resultados!F89,G89=Resultados!G89),2,IF(((F89&gt;G89)=(Resultados!F89&gt;Resultados!G89))*((F89&lt;G89)=(Resultados!F89&lt;Resultados!G89)),1,0)))</f>
        <v>0</v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>
        <f>IF(OR(Resultados!F96="",Resultados!G96=""),"",IF(AND(F96=Resultados!F96,G96=Resultados!G96),2,IF(((F96&gt;G96)=(Resultados!F96&gt;Resultados!G96))*((F96&lt;G96)=(Resultados!F96&lt;Resultados!G96)),1,0)))</f>
        <v>0</v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65">
        <f>IF(OR(Resultados!F97="",Resultados!G97=""),"",IF(AND(F97=Resultados!F97,G97=Resultados!G97),2,IF(((F97&gt;G97)=(Resultados!F97&gt;Resultados!G97))*((F97&lt;G97)=(Resultados!F97&lt;Resultados!G97)),1,0)))</f>
        <v>1</v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zoomScaleNormal="100" workbookViewId="0">
      <selection activeCell="M12" sqref="M12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39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65">
        <f>IF(OR(Resultados!F39="",Resultados!G39=""),"",IF(AND(F39=Resultados!F39,G39=Resultados!G39),2,IF(((F39&gt;G39)=(Resultados!F39&gt;Resultados!G39))*((F39&lt;G39)=(Resultados!F39&lt;Resultados!G39)),1,0)))</f>
        <v>1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0</v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0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64">
        <f>IF(OR(Resultados!F48="",Resultados!G48=""),"",IF(AND(F48=Resultados!F48,G48=Resultados!G48),2,IF(((F48&gt;G48)=(Resultados!F48&gt;Resultados!G48))*((F48&lt;G48)=(Resultados!F48&lt;Resultados!G48)),1,0)))</f>
        <v>2</v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65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>
        <f>IF(OR(Resultados!F56="",Resultados!G56=""),"",IF(AND(F56=Resultados!F56,G56=Resultados!G56),2,IF(((F56&gt;G56)=(Resultados!F56&gt;Resultados!G56))*((F56&lt;G56)=(Resultados!F56&lt;Resultados!G56)),1,0)))</f>
        <v>0</v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65">
        <f>IF(OR(Resultados!F57="",Resultados!G57=""),"",IF(AND(F57=Resultados!F57,G57=Resultados!G57),2,IF(((F57&gt;G57)=(Resultados!F57&gt;Resultados!G57))*((F57&lt;G57)=(Resultados!F57&lt;Resultados!G57)),1,0)))</f>
        <v>1</v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64">
        <f>IF(OR(Resultados!F64="",Resultados!G64=""),"",IF(AND(F64=Resultados!F64,G64=Resultados!G64),2,IF(((F64&gt;G64)=(Resultados!F64&gt;Resultados!G64))*((F64&lt;G64)=(Resultados!F64&lt;Resultados!G64)),1,0)))</f>
        <v>2</v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>
        <f>IF(OR(Resultados!F65="",Resultados!G65=""),"",IF(AND(F65=Resultados!F65,G65=Resultados!G65),2,IF(((F65&gt;G65)=(Resultados!F65&gt;Resultados!G65))*((F65&lt;G65)=(Resultados!F65&lt;Resultados!G65)),1,0)))</f>
        <v>0</v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>
        <f>IF(OR(Resultados!F72="",Resultados!G72=""),"",IF(AND(F72=Resultados!F72,G72=Resultados!G72),2,IF(((F72&gt;G72)=(Resultados!F72&gt;Resultados!G72))*((F72&lt;G72)=(Resultados!F72&lt;Resultados!G72)),1,0)))</f>
        <v>0</v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0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>
        <f>IF(OR(Resultados!F80="",Resultados!G80=""),"",IF(AND(F80=Resultados!F80,G80=Resultados!G80),2,IF(((F80&gt;G80)=(Resultados!F80&gt;Resultados!G80))*((F80&lt;G80)=(Resultados!F80&lt;Resultados!G80)),1,0)))</f>
        <v>0</v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>
        <f>IF(OR(Resultados!F81="",Resultados!G81=""),"",IF(AND(F81=Resultados!F81,G81=Resultados!G81),2,IF(((F81&gt;G81)=(Resultados!F81&gt;Resultados!G81))*((F81&lt;G81)=(Resultados!F81&lt;Resultados!G81)),1,0)))</f>
        <v>1</v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64">
        <f>IF(OR(Resultados!F87="",Resultados!G87=""),"",IF(AND(F87=Resultados!F87,G87=Resultados!G87),2,IF(((F87&gt;G87)=(Resultados!F87&gt;Resultados!G87))*((F87&lt;G87)=(Resultados!F87&lt;Resultados!G87)),1,0)))</f>
        <v>2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>
        <f>IF(OR(Resultados!F88="",Resultados!G88=""),"",IF(AND(F88=Resultados!F88,G88=Resultados!G88),2,IF(((F88&gt;G88)=(Resultados!F88&gt;Resultados!G88))*((F88&lt;G88)=(Resultados!F88&lt;Resultados!G88)),1,0)))</f>
        <v>0</v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>
        <f>IF(OR(Resultados!F89="",Resultados!G89=""),"",IF(AND(F89=Resultados!F89,G89=Resultados!G89),2,IF(((F89&gt;G89)=(Resultados!F89&gt;Resultados!G89))*((F89&lt;G89)=(Resultados!F89&lt;Resultados!G89)),1,0)))</f>
        <v>0</v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65">
        <f>IF(OR(Resultados!F96="",Resultados!G96=""),"",IF(AND(F96=Resultados!F96,G96=Resultados!G96),2,IF(((F96&gt;G96)=(Resultados!F96&gt;Resultados!G96))*((F96&lt;G96)=(Resultados!F96&lt;Resultados!G96)),1,0)))</f>
        <v>1</v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65">
        <f>IF(OR(Resultados!F97="",Resultados!G97=""),"",IF(AND(F97=Resultados!F97,G97=Resultados!G97),2,IF(((F97&gt;G97)=(Resultados!F97&gt;Resultados!G97))*((F97&lt;G97)=(Resultados!F97&lt;Resultados!G97)),1,0)))</f>
        <v>1</v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 Giron</cp:lastModifiedBy>
  <cp:lastPrinted>2026-06-14T01:53:30Z</cp:lastPrinted>
  <dcterms:created xsi:type="dcterms:W3CDTF">2026-06-14T01:28:55Z</dcterms:created>
  <dcterms:modified xsi:type="dcterms:W3CDTF">2026-06-28T17:09:34Z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