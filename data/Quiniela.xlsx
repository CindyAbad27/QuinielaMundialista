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94C55DEB-12F1-4435-B2D5-079D08705703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<sst xmlns="http://schemas.openxmlformats.org/spreadsheetml/2006/main" count="3164" uniqueCount="87">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</sst>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zoomScaleNormal="100" workbookViewId="0">
      <selection activeCell="J9" sqref="J9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8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76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76"/>
      <c r="B6" s="7">
        <v>46191</v>
      </c>
      <c r="C6" s="8">
        <v>0.75</v>
      </c>
      <c r="D6" s="9" t="s">
        <v>13</v>
      </c>
      <c r="E6" s="61" t="s">
        <v>12</v>
      </c>
      <c r="F6" s="150">
        <v>1</v>
      </c>
      <c r="G6" s="150">
        <v>1</v>
      </c>
      <c r="H6" s="61" t="s">
        <v>10</v>
      </c>
    </row>
    <row r="7" spans="1:8" ht="16.2" thickBot="1" x14ac:dyDescent="0.35">
      <c r="A7" s="76"/>
      <c r="B7" s="7">
        <v>46192</v>
      </c>
      <c r="C7" s="8">
        <v>0.125</v>
      </c>
      <c r="D7" s="9" t="s">
        <v>13</v>
      </c>
      <c r="E7" s="27" t="s">
        <v>9</v>
      </c>
      <c r="F7" s="150">
        <v>1</v>
      </c>
      <c r="G7" s="150">
        <v>0</v>
      </c>
      <c r="H7" s="20" t="s">
        <v>11</v>
      </c>
    </row>
    <row r="8" spans="1:8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79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79"/>
      <c r="B14" s="7">
        <v>46191</v>
      </c>
      <c r="C14" s="8">
        <v>0.875</v>
      </c>
      <c r="D14" s="9" t="s">
        <v>13</v>
      </c>
      <c r="E14" s="27" t="s">
        <v>19</v>
      </c>
      <c r="F14" s="150">
        <v>4</v>
      </c>
      <c r="G14" s="150">
        <v>1</v>
      </c>
      <c r="H14" s="21" t="s">
        <v>17</v>
      </c>
    </row>
    <row r="15" spans="1:8" ht="16.2" thickBot="1" x14ac:dyDescent="0.35">
      <c r="A15" s="79"/>
      <c r="B15" s="7">
        <v>46192</v>
      </c>
      <c r="C15" s="8">
        <v>0</v>
      </c>
      <c r="D15" s="9" t="s">
        <v>13</v>
      </c>
      <c r="E15" s="27" t="s">
        <v>16</v>
      </c>
      <c r="F15" s="150">
        <v>6</v>
      </c>
      <c r="G15" s="150">
        <v>0</v>
      </c>
      <c r="H15" s="21" t="s">
        <v>18</v>
      </c>
    </row>
    <row r="16" spans="1:8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67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94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97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100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106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7" t="s">
        <v>64</v>
      </c>
    </row>
    <row r="86" spans="1:8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26">
        <v>4</v>
      </c>
      <c r="G92" s="26">
        <v>2</v>
      </c>
      <c r="H92" s="21" t="s">
        <v>67</v>
      </c>
    </row>
    <row r="93" spans="1:8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27" t="s">
        <v>68</v>
      </c>
      <c r="F93" s="26">
        <v>1</v>
      </c>
      <c r="G93" s="26">
        <v>0</v>
      </c>
      <c r="H93" s="21" t="s">
        <v>69</v>
      </c>
    </row>
    <row r="94" spans="1:8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I6" sqref="I6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08" t="s">
        <v>74</v>
      </c>
      <c r="E1" s="109"/>
      <c r="F1" s="110"/>
    </row>
    <row r="2" spans="1:6" x14ac:dyDescent="0.3">
      <c r="D2" s="111" t="s">
        <v>75</v>
      </c>
      <c r="E2" s="112"/>
      <c r="F2" s="113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13</v>
      </c>
      <c r="D5" s="59">
        <v>1</v>
      </c>
      <c r="E5" s="59" t="str" cm="1">
        <f t="array" ref="E5:F13">_xlfn._xlws.SORT(A5:B13,2,-1)</f>
        <v>Erik</v>
      </c>
      <c r="F5" s="59">
        <v>18</v>
      </c>
    </row>
    <row r="6" spans="1:6" x14ac:dyDescent="0.3">
      <c r="A6" s="58" t="s">
        <v>77</v>
      </c>
      <c r="B6" s="58">
        <f>Wendy!L4</f>
        <v>15</v>
      </c>
      <c r="D6" s="55">
        <v>2</v>
      </c>
      <c r="E6" s="55" t="str">
        <v>Packy</v>
      </c>
      <c r="F6" s="55">
        <v>16</v>
      </c>
    </row>
    <row r="7" spans="1:6" x14ac:dyDescent="0.3">
      <c r="A7" s="58" t="s">
        <v>79</v>
      </c>
      <c r="B7" s="58">
        <f>Jimmy!L4</f>
        <v>14</v>
      </c>
      <c r="D7" s="56">
        <v>3</v>
      </c>
      <c r="E7" s="56" t="str">
        <v>Bere</v>
      </c>
      <c r="F7" s="56">
        <v>16</v>
      </c>
    </row>
    <row r="8" spans="1:6" x14ac:dyDescent="0.3">
      <c r="A8" s="58" t="s">
        <v>81</v>
      </c>
      <c r="B8" s="58">
        <f>Erick!L4</f>
        <v>11</v>
      </c>
      <c r="D8" s="28">
        <v>4</v>
      </c>
      <c r="E8" s="28" t="str">
        <v>Wendy</v>
      </c>
      <c r="F8" s="28">
        <v>15</v>
      </c>
    </row>
    <row r="9" spans="1:6" x14ac:dyDescent="0.3">
      <c r="A9" s="58" t="s">
        <v>82</v>
      </c>
      <c r="B9" s="58">
        <f>Erik!L4</f>
        <v>18</v>
      </c>
      <c r="D9" s="28">
        <v>5</v>
      </c>
      <c r="E9" s="28" t="str">
        <v>Jimmy</v>
      </c>
      <c r="F9" s="28">
        <v>14</v>
      </c>
    </row>
    <row r="10" spans="1:6" x14ac:dyDescent="0.3">
      <c r="A10" s="58" t="s">
        <v>83</v>
      </c>
      <c r="B10" s="58">
        <f>Lennon!L4</f>
        <v>12</v>
      </c>
      <c r="D10" s="28">
        <v>6</v>
      </c>
      <c r="E10" s="28" t="str">
        <v>Cindy</v>
      </c>
      <c r="F10" s="28">
        <v>13</v>
      </c>
    </row>
    <row r="11" spans="1:6" x14ac:dyDescent="0.3">
      <c r="A11" s="58" t="s">
        <v>84</v>
      </c>
      <c r="B11" s="58">
        <f>Yulian!L4</f>
        <v>12</v>
      </c>
      <c r="D11" s="28">
        <v>7</v>
      </c>
      <c r="E11" s="28" t="str">
        <v>Lennon</v>
      </c>
      <c r="F11" s="28">
        <v>12</v>
      </c>
    </row>
    <row r="12" spans="1:6" x14ac:dyDescent="0.3">
      <c r="A12" s="58" t="s">
        <v>78</v>
      </c>
      <c r="B12" s="58">
        <f>Packy!L4</f>
        <v>16</v>
      </c>
      <c r="D12" s="28">
        <v>8</v>
      </c>
      <c r="E12" s="28" t="str">
        <v>Yulian</v>
      </c>
      <c r="F12" s="28">
        <v>12</v>
      </c>
    </row>
    <row r="13" spans="1:6" x14ac:dyDescent="0.3">
      <c r="A13" s="58" t="s">
        <v>80</v>
      </c>
      <c r="B13" s="58">
        <f>Bere!L4</f>
        <v>16</v>
      </c>
      <c r="D13" s="28">
        <v>9</v>
      </c>
      <c r="E13" s="28" t="str">
        <v>Erick</v>
      </c>
      <c r="F13" s="28">
        <v>11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37" zoomScaleNormal="100" workbookViewId="0">
      <selection activeCell="M44" sqref="M44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7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13</v>
      </c>
    </row>
    <row r="5" spans="1:12" ht="16.2" thickBot="1" x14ac:dyDescent="0.35">
      <c r="A5" s="118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8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18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18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9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20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1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1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1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1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2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3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4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4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4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4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5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4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5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5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5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5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6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3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39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9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4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2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2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2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5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6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48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8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2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3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3" zoomScaleNormal="100" workbookViewId="0">
      <selection activeCell="F14" sqref="F14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7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15</v>
      </c>
    </row>
    <row r="5" spans="1:12" ht="16.2" thickBot="1" x14ac:dyDescent="0.35">
      <c r="A5" s="118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8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18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18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9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20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21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21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21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21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2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3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4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4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4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4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5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4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5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5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5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5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6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3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39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9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4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4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2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2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2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5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6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48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2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2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8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2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3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3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3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3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3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"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16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14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zoomScaleNormal="100" workbookViewId="0">
      <selection activeCell="L10" sqref="L1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16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150">
        <v>3</v>
      </c>
      <c r="G6" s="150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150">
        <v>1</v>
      </c>
      <c r="G7" s="150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150">
        <v>1</v>
      </c>
      <c r="G14" s="150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150">
        <v>2</v>
      </c>
      <c r="G15" s="150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2" zoomScale="115" zoomScaleNormal="115" workbookViewId="0">
      <selection activeCell="L9" sqref="L9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18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12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F14" sqref="F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7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12</v>
      </c>
    </row>
    <row r="5" spans="1:12" ht="16.2" thickBot="1" x14ac:dyDescent="0.35">
      <c r="A5" s="7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7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7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7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7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7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7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7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7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7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8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8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8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8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8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82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8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6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6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6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6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6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6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90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91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91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91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91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92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9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9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9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9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9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9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9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9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9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9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9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9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9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0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0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0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0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0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10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0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0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0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03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0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10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0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0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0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0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0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8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8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8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87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88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88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88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88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89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2026-06-19T06:12:31Z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