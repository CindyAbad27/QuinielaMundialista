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05E0BAA6-A06A-4BEC-82EB-2D55671FD3A1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<sst xmlns="http://schemas.openxmlformats.org/spreadsheetml/2006/main" count="3164" uniqueCount="87">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</sst>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73" zoomScale="115" zoomScaleNormal="115" workbookViewId="0">
      <selection activeCell="H82" sqref="H82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8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6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6"/>
      <c r="B5" s="7">
        <v>46185</v>
      </c>
      <c r="C5" s="8">
        <v>0.16666666666666666</v>
      </c>
      <c r="D5" s="9" t="s">
        <v>8</v>
      </c>
      <c r="E5" s="6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6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96"/>
      <c r="B7" s="7">
        <v>46192</v>
      </c>
      <c r="C7" s="8">
        <v>0.125</v>
      </c>
      <c r="D7" s="9" t="s">
        <v>13</v>
      </c>
      <c r="E7" s="6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66">
        <v>0</v>
      </c>
      <c r="G8" s="66">
        <v>3</v>
      </c>
      <c r="H8" s="67" t="s">
        <v>9</v>
      </c>
    </row>
    <row r="9" spans="1:8" ht="16.2" thickBot="1" x14ac:dyDescent="0.35">
      <c r="A9" s="97"/>
      <c r="B9" s="12">
        <v>46198</v>
      </c>
      <c r="C9" s="13">
        <v>0.125</v>
      </c>
      <c r="D9" s="14" t="s">
        <v>14</v>
      </c>
      <c r="E9" s="67" t="s">
        <v>10</v>
      </c>
      <c r="F9" s="66">
        <v>1</v>
      </c>
      <c r="G9" s="66">
        <v>0</v>
      </c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9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9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99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99"/>
      <c r="B16" s="7">
        <v>46197</v>
      </c>
      <c r="C16" s="8">
        <v>0.875</v>
      </c>
      <c r="D16" s="9" t="s">
        <v>14</v>
      </c>
      <c r="E16" s="27" t="s">
        <v>19</v>
      </c>
      <c r="F16" s="66">
        <v>2</v>
      </c>
      <c r="G16" s="66">
        <v>1</v>
      </c>
      <c r="H16" s="21" t="s">
        <v>16</v>
      </c>
    </row>
    <row r="17" spans="1:8" ht="16.2" thickBot="1" x14ac:dyDescent="0.35">
      <c r="A17" s="100"/>
      <c r="B17" s="12">
        <v>46197</v>
      </c>
      <c r="C17" s="13">
        <v>0.875</v>
      </c>
      <c r="D17" s="14" t="s">
        <v>14</v>
      </c>
      <c r="E17" s="27" t="s">
        <v>17</v>
      </c>
      <c r="F17" s="66">
        <v>3</v>
      </c>
      <c r="G17" s="66">
        <v>1</v>
      </c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67" t="s">
        <v>24</v>
      </c>
    </row>
    <row r="22" spans="1:8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67" t="s">
        <v>22</v>
      </c>
    </row>
    <row r="23" spans="1:8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66">
        <v>0</v>
      </c>
      <c r="G24" s="66">
        <v>3</v>
      </c>
      <c r="H24" s="21" t="s">
        <v>21</v>
      </c>
    </row>
    <row r="25" spans="1:8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66">
        <v>4</v>
      </c>
      <c r="G25" s="66">
        <v>2</v>
      </c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5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5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67" t="s">
        <v>27</v>
      </c>
    </row>
    <row r="32" spans="1:8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67" t="s">
        <v>29</v>
      </c>
      <c r="F32" s="66">
        <v>3</v>
      </c>
      <c r="G32" s="66">
        <v>2</v>
      </c>
      <c r="H32" s="21" t="s">
        <v>26</v>
      </c>
    </row>
    <row r="33" spans="1:8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61" t="s">
        <v>27</v>
      </c>
      <c r="F33" s="66">
        <v>0</v>
      </c>
      <c r="G33" s="66">
        <v>0</v>
      </c>
      <c r="H33" s="6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66">
        <v>0</v>
      </c>
      <c r="G40" s="66">
        <v>2</v>
      </c>
      <c r="H40" s="67" t="s">
        <v>33</v>
      </c>
    </row>
    <row r="41" spans="1:8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67" t="s">
        <v>34</v>
      </c>
      <c r="F41" s="66">
        <v>2</v>
      </c>
      <c r="G41" s="66">
        <v>1</v>
      </c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8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67" t="s">
        <v>37</v>
      </c>
    </row>
    <row r="48" spans="1:8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61" t="s">
        <v>37</v>
      </c>
      <c r="F48" s="66">
        <v>1</v>
      </c>
      <c r="G48" s="66">
        <v>1</v>
      </c>
      <c r="H48" s="61" t="s">
        <v>38</v>
      </c>
    </row>
    <row r="49" spans="1:8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66">
        <v>1</v>
      </c>
      <c r="G49" s="66">
        <v>3</v>
      </c>
      <c r="H49" s="67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1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1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63">
        <v>1</v>
      </c>
      <c r="G55" s="63">
        <v>3</v>
      </c>
      <c r="H55" s="67" t="s">
        <v>42</v>
      </c>
    </row>
    <row r="56" spans="1:8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4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4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84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67" t="s">
        <v>54</v>
      </c>
    </row>
    <row r="70" spans="1:8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67" t="s">
        <v>51</v>
      </c>
      <c r="F70" s="66">
        <v>3</v>
      </c>
      <c r="G70" s="66">
        <v>0</v>
      </c>
      <c r="H70" s="21" t="s">
        <v>53</v>
      </c>
    </row>
    <row r="71" spans="1:8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67" t="s">
        <v>54</v>
      </c>
      <c r="F71" s="66">
        <v>3</v>
      </c>
      <c r="G71" s="62">
        <v>2</v>
      </c>
      <c r="H71" s="21" t="s">
        <v>52</v>
      </c>
    </row>
    <row r="72" spans="1:8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66">
        <v>1</v>
      </c>
      <c r="G72" s="66">
        <v>4</v>
      </c>
      <c r="H72" s="67" t="s">
        <v>51</v>
      </c>
    </row>
    <row r="73" spans="1:8" ht="16.2" thickBot="1" x14ac:dyDescent="0.35">
      <c r="A73" s="88"/>
      <c r="B73" s="12">
        <v>46199</v>
      </c>
      <c r="C73" s="13">
        <v>0.875</v>
      </c>
      <c r="D73" s="14" t="s">
        <v>14</v>
      </c>
      <c r="E73" s="67" t="s">
        <v>52</v>
      </c>
      <c r="F73" s="66">
        <v>5</v>
      </c>
      <c r="G73" s="66">
        <v>0</v>
      </c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0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62">
        <v>1</v>
      </c>
      <c r="G79" s="62">
        <v>2</v>
      </c>
      <c r="H79" s="67" t="s">
        <v>57</v>
      </c>
    </row>
    <row r="80" spans="1:8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67" t="s">
        <v>64</v>
      </c>
    </row>
    <row r="86" spans="1:8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67" t="s">
        <v>61</v>
      </c>
      <c r="F86" s="62">
        <v>5</v>
      </c>
      <c r="G86" s="62">
        <v>0</v>
      </c>
      <c r="H86" s="21" t="s">
        <v>63</v>
      </c>
    </row>
    <row r="87" spans="1:8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67" t="s">
        <v>64</v>
      </c>
      <c r="F87" s="62">
        <v>1</v>
      </c>
      <c r="G87" s="62">
        <v>0</v>
      </c>
      <c r="H87" s="21" t="s">
        <v>62</v>
      </c>
    </row>
    <row r="88" spans="1:8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61" t="s">
        <v>66</v>
      </c>
      <c r="F94" s="62">
        <v>0</v>
      </c>
      <c r="G94" s="62">
        <v>0</v>
      </c>
      <c r="H94" s="61" t="s">
        <v>68</v>
      </c>
    </row>
    <row r="95" spans="1:8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62">
        <v>0</v>
      </c>
      <c r="G95" s="62">
        <v>1</v>
      </c>
      <c r="H95" s="67" t="s">
        <v>67</v>
      </c>
    </row>
    <row r="96" spans="1:8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H6" sqref="H6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10" t="s">
        <v>74</v>
      </c>
      <c r="E1" s="111"/>
      <c r="F1" s="112"/>
    </row>
    <row r="2" spans="1:6" x14ac:dyDescent="0.3">
      <c r="D2" s="113" t="s">
        <v>75</v>
      </c>
      <c r="E2" s="114"/>
      <c r="F2" s="115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41</v>
      </c>
      <c r="D5" s="59">
        <v>1</v>
      </c>
      <c r="E5" s="59" t="str" cm="1">
        <f t="array" ref="E5:F13">_xlfn._xlws.SORT(A5:B13,2,-1)</f>
        <v>Bere</v>
      </c>
      <c r="F5" s="59">
        <v>47</v>
      </c>
    </row>
    <row r="6" spans="1:6" x14ac:dyDescent="0.3">
      <c r="A6" s="58" t="s">
        <v>77</v>
      </c>
      <c r="B6" s="58">
        <f>Wendy!L4</f>
        <v>35</v>
      </c>
      <c r="D6" s="55">
        <v>2</v>
      </c>
      <c r="E6" s="55" t="str">
        <v>Jimmy</v>
      </c>
      <c r="F6" s="55">
        <v>43</v>
      </c>
    </row>
    <row r="7" spans="1:6" x14ac:dyDescent="0.3">
      <c r="A7" s="58" t="s">
        <v>79</v>
      </c>
      <c r="B7" s="58">
        <f>Jimmy!L4</f>
        <v>43</v>
      </c>
      <c r="D7" s="56">
        <v>3</v>
      </c>
      <c r="E7" s="56" t="str">
        <v>Cindy</v>
      </c>
      <c r="F7" s="56">
        <v>41</v>
      </c>
    </row>
    <row r="8" spans="1:6" x14ac:dyDescent="0.3">
      <c r="A8" s="58" t="s">
        <v>81</v>
      </c>
      <c r="B8" s="58">
        <f>Erick!L4</f>
        <v>34</v>
      </c>
      <c r="D8" s="28">
        <v>4</v>
      </c>
      <c r="E8" s="28" t="str">
        <v>Packy</v>
      </c>
      <c r="F8" s="28">
        <v>41</v>
      </c>
    </row>
    <row r="9" spans="1:6" x14ac:dyDescent="0.3">
      <c r="A9" s="58" t="s">
        <v>82</v>
      </c>
      <c r="B9" s="58">
        <f>Erik!L4</f>
        <v>39</v>
      </c>
      <c r="D9" s="28">
        <v>5</v>
      </c>
      <c r="E9" s="28" t="str">
        <v>Erik</v>
      </c>
      <c r="F9" s="28">
        <v>39</v>
      </c>
    </row>
    <row r="10" spans="1:6" x14ac:dyDescent="0.3">
      <c r="A10" s="58" t="s">
        <v>83</v>
      </c>
      <c r="B10" s="58">
        <f>Lennon!L4</f>
        <v>35</v>
      </c>
      <c r="D10" s="28">
        <v>6</v>
      </c>
      <c r="E10" s="28" t="str">
        <v>Wendy</v>
      </c>
      <c r="F10" s="28">
        <v>35</v>
      </c>
    </row>
    <row r="11" spans="1:6" x14ac:dyDescent="0.3">
      <c r="A11" s="58" t="s">
        <v>84</v>
      </c>
      <c r="B11" s="58">
        <f>Yulian!L4</f>
        <v>33</v>
      </c>
      <c r="D11" s="28">
        <v>7</v>
      </c>
      <c r="E11" s="28" t="str">
        <v>Lennon</v>
      </c>
      <c r="F11" s="28">
        <v>35</v>
      </c>
    </row>
    <row r="12" spans="1:6" x14ac:dyDescent="0.3">
      <c r="A12" s="58" t="s">
        <v>78</v>
      </c>
      <c r="B12" s="58">
        <f>Packy!L4</f>
        <v>41</v>
      </c>
      <c r="D12" s="28">
        <v>8</v>
      </c>
      <c r="E12" s="28" t="str">
        <v>Erick</v>
      </c>
      <c r="F12" s="28">
        <v>34</v>
      </c>
    </row>
    <row r="13" spans="1:6" x14ac:dyDescent="0.3">
      <c r="A13" s="58" t="s">
        <v>80</v>
      </c>
      <c r="B13" s="58">
        <f>Bere!L4</f>
        <v>47</v>
      </c>
      <c r="D13" s="28">
        <v>9</v>
      </c>
      <c r="E13" s="28" t="str">
        <v>Yulian</v>
      </c>
      <c r="F13" s="28">
        <v>33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1" zoomScaleNormal="100" workbookViewId="0">
      <selection activeCell="H56" sqref="H5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41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65">
        <f>IF(OR(Resultados!F16="",Resultados!G16=""),"",IF(AND(F16=Resultados!F16,G16=Resultados!G16),2,IF(((F16&gt;G16)=(Resultados!F16&gt;Resultados!G16))*((F16&lt;G16)=(Resultados!F16&lt;Resultados!G16)),1,0)))</f>
        <v>1</v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5" zoomScaleNormal="100" workbookViewId="0">
      <selection activeCell="J95" sqref="J95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35</v>
      </c>
    </row>
    <row r="5" spans="1:12" ht="16.2" thickBot="1" x14ac:dyDescent="0.35">
      <c r="A5" s="12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2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20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2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2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2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3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3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24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6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2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26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2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>
        <f>IF(OR(Resultados!F25="",Resultados!G25=""),"",IF(AND(F25=Resultados!F25,G25=Resultados!G25),2,IF(((F25&gt;G25)=(Resultados!F25&gt;Resultados!G25))*((F25&lt;G25)=(Resultados!F25&lt;Resultados!G25)),1,0)))</f>
        <v>0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7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7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1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1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4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5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5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35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35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36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7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8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8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38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38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139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40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1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41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41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41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2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43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4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4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44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44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5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6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7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7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147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47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148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9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50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50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50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150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1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8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9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9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29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29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30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31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2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32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32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>
        <f>IF(OR(Resultados!F95="",Resultados!G95=""),"",IF(AND(F95=Resultados!F95,G95=Resultados!G95),2,IF(((F95&gt;G95)=(Resultados!F95&gt;Resultados!G95))*((F95&lt;G95)=(Resultados!F95&lt;Resultados!G95)),1,0)))</f>
        <v>0</v>
      </c>
    </row>
    <row r="96" spans="1:10" ht="16.2" thickBot="1" x14ac:dyDescent="0.35">
      <c r="A96" s="132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3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8" zoomScaleNormal="100" workbookViewId="0">
      <selection activeCell="E78" sqref="E78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41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1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0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65">
        <f>IF(OR(Resultados!F94="",Resultados!G94=""),"",IF(AND(F94=Resultados!F94,G94=Resultados!G94),2,IF(((F94&gt;G94)=(Resultados!F94&gt;Resultados!G94))*((F94&lt;G94)=(Resultados!F94&lt;Resultados!G94)),1,0)))</f>
        <v>1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64">
        <f>IF(OR(Resultados!F95="",Resultados!G95=""),"",IF(AND(F95=Resultados!F95,G95=Resultados!G95),2,IF(((F95&gt;G95)=(Resultados!F95&gt;Resultados!G95))*((F95&lt;G95)=(Resultados!F95&lt;Resultados!G95)),1,0)))</f>
        <v>2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zoomScaleNormal="100" workbookViewId="0">
      <selection activeCell="L94" sqref="L9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43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zoomScaleNormal="100" workbookViewId="0">
      <selection activeCell="L90" sqref="L9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47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1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2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1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64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2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2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1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M13" sqref="M1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34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zoomScaleNormal="100" workbookViewId="0">
      <selection activeCell="L14" sqref="L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39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>
        <f>IF(OR(Resultados!F8="",Resultados!G8=""),"",IF(AND(F8=Resultados!F8,G8=Resultados!G8),2,IF(((F8&gt;G8)=(Resultados!F8&gt;Resultados!G8))*((F8&lt;G8)=(Resultados!F8&lt;Resultados!G8)),1,0)))</f>
        <v>0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0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1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N11" sqref="N1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35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2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1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N13" sqref="N1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33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>
        <f>IF(OR(Resultados!F32="",Resultados!G32=""),"",IF(AND(F32=Resultados!F32,G32=Resultados!G32),2,IF(((F32&gt;G32)=(Resultados!F32&gt;Resultados!G32))*((F32&lt;G32)=(Resultados!F32&lt;Resultados!G32)),1,0)))</f>
        <v>0</v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>
        <f>IF(OR(Resultados!F33="",Resultados!G33=""),"",IF(AND(F33=Resultados!F33,G33=Resultados!G33),2,IF(((F33&gt;G33)=(Resultados!F33&gt;Resultados!G33))*((F33&lt;G33)=(Resultados!F33&lt;Resultados!G33)),1,0)))</f>
        <v>0</v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65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>
        <f>IF(OR(Resultados!F40="",Resultados!G40=""),"",IF(AND(F40=Resultados!F40,G40=Resultados!G40),2,IF(((F40&gt;G40)=(Resultados!F40&gt;Resultados!G40))*((F40&lt;G40)=(Resultados!F40&lt;Resultados!G40)),1,0)))</f>
        <v>0</v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>
        <f>IF(OR(Resultados!F41="",Resultados!G41=""),"",IF(AND(F41=Resultados!F41,G41=Resultados!G41),2,IF(((F41&gt;G41)=(Resultados!F41&gt;Resultados!G41))*((F41&lt;G41)=(Resultados!F41&lt;Resultados!G41)),1,0)))</f>
        <v>0</v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>
        <f>IF(OR(Resultados!F48="",Resultados!G48=""),"",IF(AND(F48=Resultados!F48,G48=Resultados!G48),2,IF(((F48&gt;G48)=(Resultados!F48&gt;Resultados!G48))*((F48&lt;G48)=(Resultados!F48&lt;Resultados!G48)),1,0)))</f>
        <v>2</v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>
        <f>IF(OR(Resultados!F49="",Resultados!G49=""),"",IF(AND(F49=Resultados!F49,G49=Resultados!G49),2,IF(((F49&gt;G49)=(Resultados!F49&gt;Resultados!G49))*((F49&lt;G49)=(Resultados!F49&lt;Resultados!G49)),1,0)))</f>
        <v>1</v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>
        <f>IF(OR(Resultados!F72="",Resultados!G72=""),"",IF(AND(F72=Resultados!F72,G72=Resultados!G72),2,IF(((F72&gt;G72)=(Resultados!F72&gt;Resultados!G72))*((F72&lt;G72)=(Resultados!F72&lt;Resultados!G72)),1,0)))</f>
        <v>0</v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>
        <f>IF(OR(Resultados!F73="",Resultados!G73=""),"",IF(AND(F73=Resultados!F73,G73=Resultados!G73),2,IF(((F73&gt;G73)=(Resultados!F73&gt;Resultados!G73))*((F73&lt;G73)=(Resultados!F73&lt;Resultados!G73)),1,0)))</f>
        <v>0</v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64">
        <f>IF(OR(Resultados!F87="",Resultados!G87=""),"",IF(AND(F87=Resultados!F87,G87=Resultados!G87),2,IF(((F87&gt;G87)=(Resultados!F87&gt;Resultados!G87))*((F87&lt;G87)=(Resultados!F87&lt;Resultados!G87)),1,0)))</f>
        <v>2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2026-06-26T21:05:07Z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