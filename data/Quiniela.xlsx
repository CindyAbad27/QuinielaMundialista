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DF6185F1-D3C3-478E-95E0-779BADFE6F11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7" i="10" l="1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1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8" l="1"/>
  <c r="B8" i="11" s="1"/>
  <c r="L4" i="5"/>
  <c r="B7" i="11" s="1"/>
  <c r="L4" i="2"/>
  <c r="B5" i="11" s="1"/>
  <c r="L4" i="6"/>
  <c r="B13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<sst xmlns="http://schemas.openxmlformats.org/spreadsheetml/2006/main" count="3164" uniqueCount="85">
  <si>
    <t>XXIII Mundial USA/MEX/CAN 2026</t>
  </si>
  <si>
    <t>Fecha</t>
  </si>
  <si>
    <t>Hora</t>
  </si>
  <si>
    <t>Jor.</t>
  </si>
  <si>
    <t>Gol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</si>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</sst>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6E8A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4" fontId="6" fillId="20" borderId="22" xfId="0" applyNumberFormat="1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3" borderId="0" xfId="0" applyFont="1" applyFill="1" applyAlignment="1">
      <alignment horizontal="center" vertical="center"/>
    </xf>
    <xf numFmtId="0" fontId="17" fillId="2" borderId="0" xfId="0" applyFont="1" applyFill="1" applyAlignment="1" applyProtection="1">
      <alignment horizontal="center" vertical="center"/>
      <protection locked="0"/>
    </xf>
    <xf numFmtId="0" fontId="13" fillId="2" borderId="0" xfId="0" applyFont="1" applyFill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17" fillId="3" borderId="16" xfId="0" applyFont="1" applyFill="1" applyBorder="1" applyAlignment="1" applyProtection="1">
      <alignment horizontal="center" vertical="center"/>
      <protection locked="0"/>
    </xf>
    <xf numFmtId="0" fontId="17" fillId="3" borderId="17" xfId="0" applyFont="1" applyFill="1" applyBorder="1" applyAlignment="1" applyProtection="1">
      <alignment horizontal="center" vertical="center"/>
      <protection locked="0"/>
    </xf>
    <xf numFmtId="0" fontId="17" fillId="3" borderId="1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1" borderId="25" xfId="0" applyNumberFormat="1" applyFont="1" applyFill="1" applyBorder="1" applyAlignment="1">
      <alignment horizontal="center" vertical="center"/>
    </xf>
    <xf numFmtId="49" fontId="20" fillId="21" borderId="26" xfId="0" applyNumberFormat="1" applyFont="1" applyFill="1" applyBorder="1" applyAlignment="1">
      <alignment horizontal="center" vertical="center"/>
    </xf>
    <xf numFmtId="49" fontId="20" fillId="21" borderId="27" xfId="0" applyNumberFormat="1" applyFont="1" applyFill="1" applyBorder="1" applyAlignment="1">
      <alignment horizontal="center" vertical="center"/>
    </xf>
    <xf numFmtId="49" fontId="20" fillId="21" borderId="28" xfId="0" applyNumberFormat="1" applyFont="1" applyFill="1" applyBorder="1" applyAlignment="1">
      <alignment horizontal="center" vertical="center"/>
    </xf>
    <xf numFmtId="49" fontId="20" fillId="21" borderId="29" xfId="0" applyNumberFormat="1" applyFont="1" applyFill="1" applyBorder="1" applyAlignment="1">
      <alignment horizontal="center" vertical="center"/>
    </xf>
    <xf numFmtId="49" fontId="20" fillId="21" borderId="3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31" zoomScale="130" zoomScaleNormal="130" workbookViewId="0">
      <selection activeCell="I36" sqref="I36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16384" width="11.5546875" style="1"/>
  </cols>
  <sheetData>
    <row r="1" spans="1:8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8" ht="16.2" thickBot="1" x14ac:dyDescent="0.35">
      <c r="A2" s="104"/>
      <c r="B2" s="105"/>
      <c r="C2" s="105"/>
      <c r="D2" s="105"/>
      <c r="E2" s="105"/>
      <c r="F2" s="105"/>
      <c r="G2" s="105"/>
      <c r="H2" s="106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83</v>
      </c>
      <c r="F3" s="6" t="s">
        <v>4</v>
      </c>
      <c r="G3" s="6" t="s">
        <v>4</v>
      </c>
      <c r="H3" s="4" t="s">
        <v>84</v>
      </c>
    </row>
    <row r="4" spans="1:8" ht="16.2" thickBot="1" x14ac:dyDescent="0.35">
      <c r="A4" s="128" t="s">
        <v>5</v>
      </c>
      <c r="B4" s="7">
        <v>46184</v>
      </c>
      <c r="C4" s="8">
        <v>0.875</v>
      </c>
      <c r="D4" s="9" t="s">
        <v>6</v>
      </c>
      <c r="E4" s="26" t="s">
        <v>7</v>
      </c>
      <c r="F4" s="11">
        <v>2</v>
      </c>
      <c r="G4" s="11">
        <v>0</v>
      </c>
      <c r="H4" s="20" t="s">
        <v>8</v>
      </c>
    </row>
    <row r="5" spans="1:8" ht="16.2" thickBot="1" x14ac:dyDescent="0.35">
      <c r="A5" s="129"/>
      <c r="B5" s="7">
        <v>46185</v>
      </c>
      <c r="C5" s="8">
        <v>0.16666666666666666</v>
      </c>
      <c r="D5" s="9" t="s">
        <v>6</v>
      </c>
      <c r="E5" s="26" t="s">
        <v>9</v>
      </c>
      <c r="F5" s="11">
        <v>2</v>
      </c>
      <c r="G5" s="11">
        <v>1</v>
      </c>
      <c r="H5" s="20" t="s">
        <v>10</v>
      </c>
    </row>
    <row r="6" spans="1:8" ht="16.2" thickBot="1" x14ac:dyDescent="0.35">
      <c r="A6" s="129"/>
      <c r="B6" s="7">
        <v>46191</v>
      </c>
      <c r="C6" s="8">
        <v>0.75</v>
      </c>
      <c r="D6" s="9" t="s">
        <v>11</v>
      </c>
      <c r="E6" s="10" t="s">
        <v>10</v>
      </c>
      <c r="F6" s="24"/>
      <c r="G6" s="24"/>
      <c r="H6" s="20" t="s">
        <v>8</v>
      </c>
    </row>
    <row r="7" spans="1:8" ht="16.2" thickBot="1" x14ac:dyDescent="0.35">
      <c r="A7" s="129"/>
      <c r="B7" s="7">
        <v>46192</v>
      </c>
      <c r="C7" s="8">
        <v>0.125</v>
      </c>
      <c r="D7" s="9" t="s">
        <v>11</v>
      </c>
      <c r="E7" s="10" t="s">
        <v>7</v>
      </c>
      <c r="F7" s="24"/>
      <c r="G7" s="24"/>
      <c r="H7" s="20" t="s">
        <v>9</v>
      </c>
    </row>
    <row r="8" spans="1:8" ht="16.2" thickBot="1" x14ac:dyDescent="0.35">
      <c r="A8" s="129"/>
      <c r="B8" s="7">
        <v>46198</v>
      </c>
      <c r="C8" s="8">
        <v>0.125</v>
      </c>
      <c r="D8" s="9" t="s">
        <v>12</v>
      </c>
      <c r="E8" s="10" t="s">
        <v>10</v>
      </c>
      <c r="F8" s="24"/>
      <c r="G8" s="24"/>
      <c r="H8" s="20" t="s">
        <v>7</v>
      </c>
    </row>
    <row r="9" spans="1:8" ht="16.2" thickBot="1" x14ac:dyDescent="0.35">
      <c r="A9" s="130"/>
      <c r="B9" s="12">
        <v>46198</v>
      </c>
      <c r="C9" s="13">
        <v>0.125</v>
      </c>
      <c r="D9" s="14" t="s">
        <v>12</v>
      </c>
      <c r="E9" s="15" t="s">
        <v>8</v>
      </c>
      <c r="F9" s="24"/>
      <c r="G9" s="24"/>
      <c r="H9" s="21" t="s">
        <v>9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83</v>
      </c>
      <c r="F11" s="6" t="s">
        <v>4</v>
      </c>
      <c r="G11" s="6" t="s">
        <v>4</v>
      </c>
      <c r="H11" s="4" t="s">
        <v>84</v>
      </c>
    </row>
    <row r="12" spans="1:8" ht="16.2" thickBot="1" x14ac:dyDescent="0.35">
      <c r="A12" s="131" t="s">
        <v>13</v>
      </c>
      <c r="B12" s="7">
        <v>46185</v>
      </c>
      <c r="C12" s="8">
        <v>0.875</v>
      </c>
      <c r="D12" s="9" t="s">
        <v>6</v>
      </c>
      <c r="E12" s="27" t="s">
        <v>14</v>
      </c>
      <c r="F12" s="11">
        <v>1</v>
      </c>
      <c r="G12" s="11">
        <v>1</v>
      </c>
      <c r="H12" s="28" t="s">
        <v>15</v>
      </c>
    </row>
    <row r="13" spans="1:8" ht="16.2" thickBot="1" x14ac:dyDescent="0.35">
      <c r="A13" s="132"/>
      <c r="B13" s="7">
        <v>46186</v>
      </c>
      <c r="C13" s="8">
        <v>0.875</v>
      </c>
      <c r="D13" s="9" t="s">
        <v>6</v>
      </c>
      <c r="E13" s="27" t="s">
        <v>16</v>
      </c>
      <c r="F13" s="11">
        <v>1</v>
      </c>
      <c r="G13" s="11">
        <v>1</v>
      </c>
      <c r="H13" s="28" t="s">
        <v>17</v>
      </c>
    </row>
    <row r="14" spans="1:8" ht="16.2" thickBot="1" x14ac:dyDescent="0.35">
      <c r="A14" s="132"/>
      <c r="B14" s="7">
        <v>46191</v>
      </c>
      <c r="C14" s="8">
        <v>0.875</v>
      </c>
      <c r="D14" s="9" t="s">
        <v>11</v>
      </c>
      <c r="E14" s="10" t="s">
        <v>17</v>
      </c>
      <c r="F14" s="24"/>
      <c r="G14" s="24"/>
      <c r="H14" s="21" t="s">
        <v>15</v>
      </c>
    </row>
    <row r="15" spans="1:8" ht="16.2" thickBot="1" x14ac:dyDescent="0.35">
      <c r="A15" s="132"/>
      <c r="B15" s="7">
        <v>46192</v>
      </c>
      <c r="C15" s="8">
        <v>0</v>
      </c>
      <c r="D15" s="9" t="s">
        <v>11</v>
      </c>
      <c r="E15" s="10" t="s">
        <v>14</v>
      </c>
      <c r="F15" s="24"/>
      <c r="G15" s="24"/>
      <c r="H15" s="21" t="s">
        <v>16</v>
      </c>
    </row>
    <row r="16" spans="1:8" ht="16.2" thickBot="1" x14ac:dyDescent="0.35">
      <c r="A16" s="132"/>
      <c r="B16" s="7">
        <v>46197</v>
      </c>
      <c r="C16" s="8">
        <v>0.875</v>
      </c>
      <c r="D16" s="9" t="s">
        <v>12</v>
      </c>
      <c r="E16" s="10" t="s">
        <v>17</v>
      </c>
      <c r="F16" s="24"/>
      <c r="G16" s="24"/>
      <c r="H16" s="21" t="s">
        <v>14</v>
      </c>
    </row>
    <row r="17" spans="1:8" ht="16.2" thickBot="1" x14ac:dyDescent="0.35">
      <c r="A17" s="133"/>
      <c r="B17" s="12">
        <v>46197</v>
      </c>
      <c r="C17" s="13">
        <v>0.875</v>
      </c>
      <c r="D17" s="14" t="s">
        <v>12</v>
      </c>
      <c r="E17" s="15" t="s">
        <v>15</v>
      </c>
      <c r="F17" s="24"/>
      <c r="G17" s="24"/>
      <c r="H17" s="21" t="s">
        <v>16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83</v>
      </c>
      <c r="F19" s="6" t="s">
        <v>4</v>
      </c>
      <c r="G19" s="6" t="s">
        <v>4</v>
      </c>
      <c r="H19" s="4" t="s">
        <v>84</v>
      </c>
    </row>
    <row r="20" spans="1:8" ht="16.2" thickBot="1" x14ac:dyDescent="0.35">
      <c r="A20" s="134" t="s">
        <v>18</v>
      </c>
      <c r="B20" s="7">
        <v>46187</v>
      </c>
      <c r="C20" s="8">
        <v>0</v>
      </c>
      <c r="D20" s="9" t="s">
        <v>6</v>
      </c>
      <c r="E20" s="27" t="s">
        <v>19</v>
      </c>
      <c r="F20" s="11">
        <v>1</v>
      </c>
      <c r="G20" s="11">
        <v>1</v>
      </c>
      <c r="H20" s="28" t="s">
        <v>20</v>
      </c>
    </row>
    <row r="21" spans="1:8" ht="16.2" thickBot="1" x14ac:dyDescent="0.35">
      <c r="A21" s="135"/>
      <c r="B21" s="7">
        <v>46187</v>
      </c>
      <c r="C21" s="8">
        <v>0.125</v>
      </c>
      <c r="D21" s="9" t="s">
        <v>6</v>
      </c>
      <c r="E21" s="10" t="s">
        <v>21</v>
      </c>
      <c r="F21" s="25">
        <v>0</v>
      </c>
      <c r="G21" s="25">
        <v>1</v>
      </c>
      <c r="H21" s="26" t="s">
        <v>22</v>
      </c>
    </row>
    <row r="22" spans="1:8" ht="16.2" thickBot="1" x14ac:dyDescent="0.35">
      <c r="A22" s="135"/>
      <c r="B22" s="7">
        <v>46193</v>
      </c>
      <c r="C22" s="8">
        <v>0</v>
      </c>
      <c r="D22" s="9" t="s">
        <v>11</v>
      </c>
      <c r="E22" s="10" t="s">
        <v>22</v>
      </c>
      <c r="F22" s="24"/>
      <c r="G22" s="24"/>
      <c r="H22" s="21" t="s">
        <v>20</v>
      </c>
    </row>
    <row r="23" spans="1:8" ht="16.2" thickBot="1" x14ac:dyDescent="0.35">
      <c r="A23" s="135"/>
      <c r="B23" s="7">
        <v>46193</v>
      </c>
      <c r="C23" s="8">
        <v>0.10416666666666667</v>
      </c>
      <c r="D23" s="9" t="s">
        <v>11</v>
      </c>
      <c r="E23" s="10" t="s">
        <v>19</v>
      </c>
      <c r="F23" s="24"/>
      <c r="G23" s="24"/>
      <c r="H23" s="21" t="s">
        <v>21</v>
      </c>
    </row>
    <row r="24" spans="1:8" ht="16.2" thickBot="1" x14ac:dyDescent="0.35">
      <c r="A24" s="135"/>
      <c r="B24" s="7">
        <v>46198</v>
      </c>
      <c r="C24" s="8">
        <v>0</v>
      </c>
      <c r="D24" s="9" t="s">
        <v>12</v>
      </c>
      <c r="E24" s="10" t="s">
        <v>22</v>
      </c>
      <c r="F24" s="24"/>
      <c r="G24" s="24"/>
      <c r="H24" s="21" t="s">
        <v>19</v>
      </c>
    </row>
    <row r="25" spans="1:8" ht="16.2" thickBot="1" x14ac:dyDescent="0.35">
      <c r="A25" s="136"/>
      <c r="B25" s="12">
        <v>46198</v>
      </c>
      <c r="C25" s="13">
        <v>0</v>
      </c>
      <c r="D25" s="14" t="s">
        <v>12</v>
      </c>
      <c r="E25" s="15" t="s">
        <v>20</v>
      </c>
      <c r="F25" s="24"/>
      <c r="G25" s="24"/>
      <c r="H25" s="21" t="s">
        <v>21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3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83</v>
      </c>
      <c r="F27" s="6" t="s">
        <v>4</v>
      </c>
      <c r="G27" s="6" t="s">
        <v>4</v>
      </c>
      <c r="H27" s="4" t="s">
        <v>84</v>
      </c>
    </row>
    <row r="28" spans="1:8" ht="16.2" thickBot="1" x14ac:dyDescent="0.35">
      <c r="A28" s="137" t="s">
        <v>23</v>
      </c>
      <c r="B28" s="7">
        <v>46186</v>
      </c>
      <c r="C28" s="8">
        <v>0.125</v>
      </c>
      <c r="D28" s="9" t="s">
        <v>6</v>
      </c>
      <c r="E28" s="26" t="s">
        <v>24</v>
      </c>
      <c r="F28" s="11">
        <v>4</v>
      </c>
      <c r="G28" s="11">
        <v>1</v>
      </c>
      <c r="H28" s="21" t="s">
        <v>25</v>
      </c>
    </row>
    <row r="29" spans="1:8" ht="16.2" thickBot="1" x14ac:dyDescent="0.35">
      <c r="A29" s="138"/>
      <c r="B29" s="7">
        <v>46187</v>
      </c>
      <c r="C29" s="8">
        <v>0.25</v>
      </c>
      <c r="D29" s="9" t="s">
        <v>6</v>
      </c>
      <c r="E29" s="26" t="s">
        <v>26</v>
      </c>
      <c r="F29" s="25">
        <v>2</v>
      </c>
      <c r="G29" s="25">
        <v>0</v>
      </c>
      <c r="H29" s="21" t="s">
        <v>27</v>
      </c>
    </row>
    <row r="30" spans="1:8" ht="16.2" thickBot="1" x14ac:dyDescent="0.35">
      <c r="A30" s="138"/>
      <c r="B30" s="7">
        <v>46192</v>
      </c>
      <c r="C30" s="8">
        <v>0.875</v>
      </c>
      <c r="D30" s="9" t="s">
        <v>11</v>
      </c>
      <c r="E30" s="10" t="s">
        <v>24</v>
      </c>
      <c r="F30" s="24"/>
      <c r="G30" s="24"/>
      <c r="H30" s="21" t="s">
        <v>26</v>
      </c>
    </row>
    <row r="31" spans="1:8" ht="16.2" thickBot="1" x14ac:dyDescent="0.35">
      <c r="A31" s="138"/>
      <c r="B31" s="7">
        <v>46193</v>
      </c>
      <c r="C31" s="8">
        <v>0.20833333333333334</v>
      </c>
      <c r="D31" s="9" t="s">
        <v>11</v>
      </c>
      <c r="E31" s="10" t="s">
        <v>27</v>
      </c>
      <c r="F31" s="24"/>
      <c r="G31" s="24"/>
      <c r="H31" s="21" t="s">
        <v>25</v>
      </c>
    </row>
    <row r="32" spans="1:8" ht="16.2" thickBot="1" x14ac:dyDescent="0.35">
      <c r="A32" s="138"/>
      <c r="B32" s="7">
        <v>46199</v>
      </c>
      <c r="C32" s="8">
        <v>0.16666666666666666</v>
      </c>
      <c r="D32" s="9" t="s">
        <v>12</v>
      </c>
      <c r="E32" s="10" t="s">
        <v>27</v>
      </c>
      <c r="F32" s="24"/>
      <c r="G32" s="24"/>
      <c r="H32" s="21" t="s">
        <v>24</v>
      </c>
    </row>
    <row r="33" spans="1:8" ht="16.2" thickBot="1" x14ac:dyDescent="0.35">
      <c r="A33" s="139"/>
      <c r="B33" s="12">
        <v>46199</v>
      </c>
      <c r="C33" s="13">
        <v>0.16666666666666666</v>
      </c>
      <c r="D33" s="14" t="s">
        <v>12</v>
      </c>
      <c r="E33" s="15" t="s">
        <v>25</v>
      </c>
      <c r="F33" s="24"/>
      <c r="G33" s="24"/>
      <c r="H33" s="21" t="s">
        <v>26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83</v>
      </c>
      <c r="F35" s="6" t="s">
        <v>4</v>
      </c>
      <c r="G35" s="6" t="s">
        <v>4</v>
      </c>
      <c r="H35" s="4" t="s">
        <v>84</v>
      </c>
    </row>
    <row r="36" spans="1:8" ht="16.2" thickBot="1" x14ac:dyDescent="0.35">
      <c r="A36" s="140" t="s">
        <v>28</v>
      </c>
      <c r="B36" s="7">
        <v>46187</v>
      </c>
      <c r="C36" s="8">
        <v>0.79166666666666663</v>
      </c>
      <c r="D36" s="9" t="s">
        <v>6</v>
      </c>
      <c r="E36" s="26" t="s">
        <v>29</v>
      </c>
      <c r="F36" s="25">
        <v>7</v>
      </c>
      <c r="G36" s="25">
        <v>1</v>
      </c>
      <c r="H36" s="21" t="s">
        <v>30</v>
      </c>
    </row>
    <row r="37" spans="1:8" ht="16.2" thickBot="1" x14ac:dyDescent="0.35">
      <c r="A37" s="141"/>
      <c r="B37" s="7">
        <v>46188</v>
      </c>
      <c r="C37" s="8">
        <v>4.1666666666666664E-2</v>
      </c>
      <c r="D37" s="9" t="s">
        <v>6</v>
      </c>
      <c r="E37" s="10" t="s">
        <v>31</v>
      </c>
      <c r="F37" s="25"/>
      <c r="G37" s="25"/>
      <c r="H37" s="21" t="s">
        <v>32</v>
      </c>
    </row>
    <row r="38" spans="1:8" ht="16.2" thickBot="1" x14ac:dyDescent="0.35">
      <c r="A38" s="141"/>
      <c r="B38" s="7">
        <v>46193</v>
      </c>
      <c r="C38" s="8">
        <v>0.91666666666666663</v>
      </c>
      <c r="D38" s="9" t="s">
        <v>11</v>
      </c>
      <c r="E38" s="10" t="s">
        <v>29</v>
      </c>
      <c r="F38" s="24"/>
      <c r="G38" s="24"/>
      <c r="H38" s="21" t="s">
        <v>31</v>
      </c>
    </row>
    <row r="39" spans="1:8" ht="16.2" thickBot="1" x14ac:dyDescent="0.35">
      <c r="A39" s="141"/>
      <c r="B39" s="7">
        <v>46194</v>
      </c>
      <c r="C39" s="8">
        <v>8.3333333333333329E-2</v>
      </c>
      <c r="D39" s="9" t="s">
        <v>11</v>
      </c>
      <c r="E39" s="10" t="s">
        <v>32</v>
      </c>
      <c r="F39" s="24"/>
      <c r="G39" s="24"/>
      <c r="H39" s="21" t="s">
        <v>30</v>
      </c>
    </row>
    <row r="40" spans="1:8" ht="16.2" thickBot="1" x14ac:dyDescent="0.35">
      <c r="A40" s="141"/>
      <c r="B40" s="7">
        <v>46198</v>
      </c>
      <c r="C40" s="8">
        <v>0.91666666666666663</v>
      </c>
      <c r="D40" s="9" t="s">
        <v>12</v>
      </c>
      <c r="E40" s="10" t="s">
        <v>30</v>
      </c>
      <c r="F40" s="24"/>
      <c r="G40" s="24"/>
      <c r="H40" s="21" t="s">
        <v>31</v>
      </c>
    </row>
    <row r="41" spans="1:8" ht="16.2" thickBot="1" x14ac:dyDescent="0.35">
      <c r="A41" s="142"/>
      <c r="B41" s="12">
        <v>46198</v>
      </c>
      <c r="C41" s="13">
        <v>0.91666666666666663</v>
      </c>
      <c r="D41" s="14" t="s">
        <v>12</v>
      </c>
      <c r="E41" s="15" t="s">
        <v>32</v>
      </c>
      <c r="F41" s="24"/>
      <c r="G41" s="24"/>
      <c r="H41" s="21" t="s">
        <v>29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83</v>
      </c>
      <c r="F43" s="6" t="s">
        <v>4</v>
      </c>
      <c r="G43" s="6" t="s">
        <v>4</v>
      </c>
      <c r="H43" s="4" t="s">
        <v>84</v>
      </c>
    </row>
    <row r="44" spans="1:8" ht="16.2" thickBot="1" x14ac:dyDescent="0.35">
      <c r="A44" s="110" t="s">
        <v>33</v>
      </c>
      <c r="B44" s="7">
        <v>46187</v>
      </c>
      <c r="C44" s="8">
        <v>0.91666666666666663</v>
      </c>
      <c r="D44" s="9" t="s">
        <v>6</v>
      </c>
      <c r="E44" s="10" t="s">
        <v>34</v>
      </c>
      <c r="F44" s="25"/>
      <c r="G44" s="25"/>
      <c r="H44" s="21" t="s">
        <v>35</v>
      </c>
    </row>
    <row r="45" spans="1:8" ht="16.2" thickBot="1" x14ac:dyDescent="0.35">
      <c r="A45" s="111"/>
      <c r="B45" s="7">
        <v>46188</v>
      </c>
      <c r="C45" s="8">
        <v>0.16666666666666666</v>
      </c>
      <c r="D45" s="9" t="s">
        <v>6</v>
      </c>
      <c r="E45" s="10" t="s">
        <v>36</v>
      </c>
      <c r="F45" s="25"/>
      <c r="G45" s="25"/>
      <c r="H45" s="21" t="s">
        <v>37</v>
      </c>
    </row>
    <row r="46" spans="1:8" ht="16.2" thickBot="1" x14ac:dyDescent="0.35">
      <c r="A46" s="111"/>
      <c r="B46" s="7">
        <v>46193</v>
      </c>
      <c r="C46" s="8">
        <v>0.79166666666666663</v>
      </c>
      <c r="D46" s="9" t="s">
        <v>11</v>
      </c>
      <c r="E46" s="10" t="s">
        <v>34</v>
      </c>
      <c r="F46" s="24"/>
      <c r="G46" s="24"/>
      <c r="H46" s="21" t="s">
        <v>36</v>
      </c>
    </row>
    <row r="47" spans="1:8" ht="16.2" thickBot="1" x14ac:dyDescent="0.35">
      <c r="A47" s="111"/>
      <c r="B47" s="7">
        <v>46194</v>
      </c>
      <c r="C47" s="8">
        <v>0.25</v>
      </c>
      <c r="D47" s="9" t="s">
        <v>11</v>
      </c>
      <c r="E47" s="10" t="s">
        <v>37</v>
      </c>
      <c r="F47" s="24"/>
      <c r="G47" s="24"/>
      <c r="H47" s="21" t="s">
        <v>35</v>
      </c>
    </row>
    <row r="48" spans="1:8" ht="16.2" thickBot="1" x14ac:dyDescent="0.35">
      <c r="A48" s="111"/>
      <c r="B48" s="7">
        <v>46199</v>
      </c>
      <c r="C48" s="8">
        <v>4.1666666666666664E-2</v>
      </c>
      <c r="D48" s="9" t="s">
        <v>12</v>
      </c>
      <c r="E48" s="10" t="s">
        <v>35</v>
      </c>
      <c r="F48" s="24"/>
      <c r="G48" s="24"/>
      <c r="H48" s="21" t="s">
        <v>36</v>
      </c>
    </row>
    <row r="49" spans="1:8" ht="16.2" thickBot="1" x14ac:dyDescent="0.35">
      <c r="A49" s="112"/>
      <c r="B49" s="12">
        <v>46199</v>
      </c>
      <c r="C49" s="13">
        <v>4.1666666666666664E-2</v>
      </c>
      <c r="D49" s="14" t="s">
        <v>12</v>
      </c>
      <c r="E49" s="15" t="s">
        <v>37</v>
      </c>
      <c r="F49" s="24"/>
      <c r="G49" s="24"/>
      <c r="H49" s="21" t="s">
        <v>34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83</v>
      </c>
      <c r="F51" s="6" t="s">
        <v>4</v>
      </c>
      <c r="G51" s="6" t="s">
        <v>4</v>
      </c>
      <c r="H51" s="4" t="s">
        <v>84</v>
      </c>
    </row>
    <row r="52" spans="1:8" ht="16.2" thickBot="1" x14ac:dyDescent="0.35">
      <c r="A52" s="113" t="s">
        <v>38</v>
      </c>
      <c r="B52" s="7">
        <v>46188</v>
      </c>
      <c r="C52" s="8">
        <v>0.875</v>
      </c>
      <c r="D52" s="9" t="s">
        <v>6</v>
      </c>
      <c r="E52" s="10" t="s">
        <v>39</v>
      </c>
      <c r="F52" s="25"/>
      <c r="G52" s="25"/>
      <c r="H52" s="21" t="s">
        <v>40</v>
      </c>
    </row>
    <row r="53" spans="1:8" ht="16.2" thickBot="1" x14ac:dyDescent="0.35">
      <c r="A53" s="114"/>
      <c r="B53" s="7">
        <v>46189</v>
      </c>
      <c r="C53" s="8">
        <v>0.125</v>
      </c>
      <c r="D53" s="9" t="s">
        <v>6</v>
      </c>
      <c r="E53" s="10" t="s">
        <v>41</v>
      </c>
      <c r="F53" s="25"/>
      <c r="G53" s="25"/>
      <c r="H53" s="21" t="s">
        <v>42</v>
      </c>
    </row>
    <row r="54" spans="1:8" ht="16.2" thickBot="1" x14ac:dyDescent="0.35">
      <c r="A54" s="114"/>
      <c r="B54" s="7">
        <v>46194</v>
      </c>
      <c r="C54" s="8">
        <v>0.875</v>
      </c>
      <c r="D54" s="9" t="s">
        <v>11</v>
      </c>
      <c r="E54" s="10" t="s">
        <v>39</v>
      </c>
      <c r="F54" s="24"/>
      <c r="G54" s="24"/>
      <c r="H54" s="21" t="s">
        <v>41</v>
      </c>
    </row>
    <row r="55" spans="1:8" ht="16.2" thickBot="1" x14ac:dyDescent="0.35">
      <c r="A55" s="114"/>
      <c r="B55" s="7">
        <v>46195</v>
      </c>
      <c r="C55" s="8">
        <v>0.125</v>
      </c>
      <c r="D55" s="9" t="s">
        <v>11</v>
      </c>
      <c r="E55" s="10" t="s">
        <v>42</v>
      </c>
      <c r="F55" s="24"/>
      <c r="G55" s="24"/>
      <c r="H55" s="21" t="s">
        <v>40</v>
      </c>
    </row>
    <row r="56" spans="1:8" ht="16.2" thickBot="1" x14ac:dyDescent="0.35">
      <c r="A56" s="114"/>
      <c r="B56" s="7">
        <v>46200</v>
      </c>
      <c r="C56" s="8">
        <v>0.20833333333333334</v>
      </c>
      <c r="D56" s="9" t="s">
        <v>12</v>
      </c>
      <c r="E56" s="10" t="s">
        <v>40</v>
      </c>
      <c r="F56" s="24"/>
      <c r="G56" s="24"/>
      <c r="H56" s="21" t="s">
        <v>41</v>
      </c>
    </row>
    <row r="57" spans="1:8" ht="16.2" thickBot="1" x14ac:dyDescent="0.35">
      <c r="A57" s="115"/>
      <c r="B57" s="12">
        <v>46200</v>
      </c>
      <c r="C57" s="13">
        <v>0.20833333333333334</v>
      </c>
      <c r="D57" s="14" t="s">
        <v>12</v>
      </c>
      <c r="E57" s="15" t="s">
        <v>42</v>
      </c>
      <c r="F57" s="24"/>
      <c r="G57" s="24"/>
      <c r="H57" s="21" t="s">
        <v>39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83</v>
      </c>
      <c r="F59" s="6" t="s">
        <v>4</v>
      </c>
      <c r="G59" s="6" t="s">
        <v>4</v>
      </c>
      <c r="H59" s="4" t="s">
        <v>84</v>
      </c>
    </row>
    <row r="60" spans="1:8" ht="16.2" thickBot="1" x14ac:dyDescent="0.35">
      <c r="A60" s="116" t="s">
        <v>43</v>
      </c>
      <c r="B60" s="7">
        <v>46188</v>
      </c>
      <c r="C60" s="8">
        <v>0.75</v>
      </c>
      <c r="D60" s="9" t="s">
        <v>6</v>
      </c>
      <c r="E60" s="10" t="s">
        <v>44</v>
      </c>
      <c r="F60" s="25"/>
      <c r="G60" s="25"/>
      <c r="H60" s="21" t="s">
        <v>45</v>
      </c>
    </row>
    <row r="61" spans="1:8" ht="16.2" thickBot="1" x14ac:dyDescent="0.35">
      <c r="A61" s="117"/>
      <c r="B61" s="7">
        <v>46189</v>
      </c>
      <c r="C61" s="8">
        <v>0</v>
      </c>
      <c r="D61" s="9" t="s">
        <v>6</v>
      </c>
      <c r="E61" s="10" t="s">
        <v>46</v>
      </c>
      <c r="F61" s="25"/>
      <c r="G61" s="25"/>
      <c r="H61" s="21" t="s">
        <v>47</v>
      </c>
    </row>
    <row r="62" spans="1:8" ht="16.2" thickBot="1" x14ac:dyDescent="0.35">
      <c r="A62" s="117"/>
      <c r="B62" s="7">
        <v>46194</v>
      </c>
      <c r="C62" s="8">
        <v>0.75</v>
      </c>
      <c r="D62" s="9" t="s">
        <v>11</v>
      </c>
      <c r="E62" s="10" t="s">
        <v>44</v>
      </c>
      <c r="F62" s="24"/>
      <c r="G62" s="24"/>
      <c r="H62" s="21" t="s">
        <v>46</v>
      </c>
    </row>
    <row r="63" spans="1:8" ht="16.2" thickBot="1" x14ac:dyDescent="0.35">
      <c r="A63" s="117"/>
      <c r="B63" s="7">
        <v>46195</v>
      </c>
      <c r="C63" s="8">
        <v>0</v>
      </c>
      <c r="D63" s="9" t="s">
        <v>11</v>
      </c>
      <c r="E63" s="10" t="s">
        <v>47</v>
      </c>
      <c r="F63" s="24"/>
      <c r="G63" s="24"/>
      <c r="H63" s="21" t="s">
        <v>45</v>
      </c>
    </row>
    <row r="64" spans="1:8" ht="16.2" thickBot="1" x14ac:dyDescent="0.35">
      <c r="A64" s="117"/>
      <c r="B64" s="7">
        <v>46200</v>
      </c>
      <c r="C64" s="8">
        <v>8.3333333333333329E-2</v>
      </c>
      <c r="D64" s="9" t="s">
        <v>12</v>
      </c>
      <c r="E64" s="10" t="s">
        <v>45</v>
      </c>
      <c r="F64" s="24"/>
      <c r="G64" s="24"/>
      <c r="H64" s="21" t="s">
        <v>46</v>
      </c>
    </row>
    <row r="65" spans="1:8" ht="16.2" thickBot="1" x14ac:dyDescent="0.35">
      <c r="A65" s="118"/>
      <c r="B65" s="12">
        <v>46200</v>
      </c>
      <c r="C65" s="13">
        <v>8.3333333333333329E-2</v>
      </c>
      <c r="D65" s="14" t="s">
        <v>12</v>
      </c>
      <c r="E65" s="15" t="s">
        <v>47</v>
      </c>
      <c r="F65" s="24"/>
      <c r="G65" s="24"/>
      <c r="H65" s="21" t="s">
        <v>44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83</v>
      </c>
      <c r="F67" s="6" t="s">
        <v>4</v>
      </c>
      <c r="G67" s="6" t="s">
        <v>4</v>
      </c>
      <c r="H67" s="4" t="s">
        <v>84</v>
      </c>
    </row>
    <row r="68" spans="1:8" ht="16.2" thickBot="1" x14ac:dyDescent="0.35">
      <c r="A68" s="119" t="s">
        <v>48</v>
      </c>
      <c r="B68" s="7">
        <v>46189</v>
      </c>
      <c r="C68" s="8">
        <v>0.875</v>
      </c>
      <c r="D68" s="9" t="s">
        <v>6</v>
      </c>
      <c r="E68" s="10" t="s">
        <v>49</v>
      </c>
      <c r="F68" s="25"/>
      <c r="G68" s="25"/>
      <c r="H68" s="21" t="s">
        <v>50</v>
      </c>
    </row>
    <row r="69" spans="1:8" ht="16.2" thickBot="1" x14ac:dyDescent="0.35">
      <c r="A69" s="120"/>
      <c r="B69" s="7">
        <v>46190</v>
      </c>
      <c r="C69" s="8">
        <v>0</v>
      </c>
      <c r="D69" s="9" t="s">
        <v>6</v>
      </c>
      <c r="E69" s="10" t="s">
        <v>51</v>
      </c>
      <c r="F69" s="25"/>
      <c r="G69" s="25"/>
      <c r="H69" s="21" t="s">
        <v>52</v>
      </c>
    </row>
    <row r="70" spans="1:8" ht="16.2" thickBot="1" x14ac:dyDescent="0.35">
      <c r="A70" s="120"/>
      <c r="B70" s="7">
        <v>46195</v>
      </c>
      <c r="C70" s="8">
        <v>0.95833333333333337</v>
      </c>
      <c r="D70" s="9" t="s">
        <v>11</v>
      </c>
      <c r="E70" s="10" t="s">
        <v>49</v>
      </c>
      <c r="F70" s="24"/>
      <c r="G70" s="24"/>
      <c r="H70" s="21" t="s">
        <v>51</v>
      </c>
    </row>
    <row r="71" spans="1:8" ht="16.2" thickBot="1" x14ac:dyDescent="0.35">
      <c r="A71" s="120"/>
      <c r="B71" s="7">
        <v>46196</v>
      </c>
      <c r="C71" s="8">
        <v>8.3333333333333329E-2</v>
      </c>
      <c r="D71" s="9" t="s">
        <v>11</v>
      </c>
      <c r="E71" s="10" t="s">
        <v>52</v>
      </c>
      <c r="F71" s="24"/>
      <c r="G71" s="24"/>
      <c r="H71" s="21" t="s">
        <v>50</v>
      </c>
    </row>
    <row r="72" spans="1:8" ht="16.2" thickBot="1" x14ac:dyDescent="0.35">
      <c r="A72" s="120"/>
      <c r="B72" s="7">
        <v>46199</v>
      </c>
      <c r="C72" s="8">
        <v>0.875</v>
      </c>
      <c r="D72" s="9" t="s">
        <v>12</v>
      </c>
      <c r="E72" s="10" t="s">
        <v>52</v>
      </c>
      <c r="F72" s="24"/>
      <c r="G72" s="24"/>
      <c r="H72" s="21" t="s">
        <v>49</v>
      </c>
    </row>
    <row r="73" spans="1:8" ht="16.2" thickBot="1" x14ac:dyDescent="0.35">
      <c r="A73" s="121"/>
      <c r="B73" s="12">
        <v>46199</v>
      </c>
      <c r="C73" s="13">
        <v>0.875</v>
      </c>
      <c r="D73" s="14" t="s">
        <v>12</v>
      </c>
      <c r="E73" s="15" t="s">
        <v>50</v>
      </c>
      <c r="F73" s="24"/>
      <c r="G73" s="24"/>
      <c r="H73" s="21" t="s">
        <v>51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83</v>
      </c>
      <c r="F75" s="6" t="s">
        <v>4</v>
      </c>
      <c r="G75" s="6" t="s">
        <v>4</v>
      </c>
      <c r="H75" s="4" t="s">
        <v>84</v>
      </c>
    </row>
    <row r="76" spans="1:8" ht="16.2" thickBot="1" x14ac:dyDescent="0.35">
      <c r="A76" s="122" t="s">
        <v>53</v>
      </c>
      <c r="B76" s="7">
        <v>46190</v>
      </c>
      <c r="C76" s="8">
        <v>0.125</v>
      </c>
      <c r="D76" s="9" t="s">
        <v>6</v>
      </c>
      <c r="E76" s="10" t="s">
        <v>54</v>
      </c>
      <c r="F76" s="25"/>
      <c r="G76" s="25"/>
      <c r="H76" s="21" t="s">
        <v>55</v>
      </c>
    </row>
    <row r="77" spans="1:8" ht="16.2" thickBot="1" x14ac:dyDescent="0.35">
      <c r="A77" s="123"/>
      <c r="B77" s="7">
        <v>46190</v>
      </c>
      <c r="C77" s="8">
        <v>0.25</v>
      </c>
      <c r="D77" s="9" t="s">
        <v>6</v>
      </c>
      <c r="E77" s="10" t="s">
        <v>56</v>
      </c>
      <c r="F77" s="25"/>
      <c r="G77" s="25"/>
      <c r="H77" s="21" t="s">
        <v>57</v>
      </c>
    </row>
    <row r="78" spans="1:8" ht="16.2" thickBot="1" x14ac:dyDescent="0.35">
      <c r="A78" s="123"/>
      <c r="B78" s="7">
        <v>46195</v>
      </c>
      <c r="C78" s="8">
        <v>0.79166666666666663</v>
      </c>
      <c r="D78" s="9" t="s">
        <v>11</v>
      </c>
      <c r="E78" s="10" t="s">
        <v>54</v>
      </c>
      <c r="F78" s="24"/>
      <c r="G78" s="24"/>
      <c r="H78" s="21" t="s">
        <v>56</v>
      </c>
    </row>
    <row r="79" spans="1:8" ht="16.2" thickBot="1" x14ac:dyDescent="0.35">
      <c r="A79" s="123"/>
      <c r="B79" s="7">
        <v>46196</v>
      </c>
      <c r="C79" s="8">
        <v>0.20833333333333334</v>
      </c>
      <c r="D79" s="9" t="s">
        <v>11</v>
      </c>
      <c r="E79" s="10" t="s">
        <v>57</v>
      </c>
      <c r="F79" s="24"/>
      <c r="G79" s="24"/>
      <c r="H79" s="21" t="s">
        <v>55</v>
      </c>
    </row>
    <row r="80" spans="1:8" ht="16.2" thickBot="1" x14ac:dyDescent="0.35">
      <c r="A80" s="123"/>
      <c r="B80" s="7">
        <v>46201</v>
      </c>
      <c r="C80" s="8">
        <v>0.16666666666666666</v>
      </c>
      <c r="D80" s="9" t="s">
        <v>12</v>
      </c>
      <c r="E80" s="10" t="s">
        <v>55</v>
      </c>
      <c r="F80" s="24"/>
      <c r="G80" s="24"/>
      <c r="H80" s="21" t="s">
        <v>56</v>
      </c>
    </row>
    <row r="81" spans="1:8" ht="16.2" thickBot="1" x14ac:dyDescent="0.35">
      <c r="A81" s="124"/>
      <c r="B81" s="12">
        <v>46201</v>
      </c>
      <c r="C81" s="13">
        <v>0.16666666666666666</v>
      </c>
      <c r="D81" s="14" t="s">
        <v>12</v>
      </c>
      <c r="E81" s="15" t="s">
        <v>57</v>
      </c>
      <c r="F81" s="24"/>
      <c r="G81" s="24"/>
      <c r="H81" s="21" t="s">
        <v>54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3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83</v>
      </c>
      <c r="F83" s="6" t="s">
        <v>4</v>
      </c>
      <c r="G83" s="6" t="s">
        <v>4</v>
      </c>
      <c r="H83" s="4" t="s">
        <v>84</v>
      </c>
    </row>
    <row r="84" spans="1:8" ht="16.2" thickBot="1" x14ac:dyDescent="0.35">
      <c r="A84" s="125" t="s">
        <v>58</v>
      </c>
      <c r="B84" s="7">
        <v>46190</v>
      </c>
      <c r="C84" s="8">
        <v>0.79166666666666663</v>
      </c>
      <c r="D84" s="9" t="s">
        <v>6</v>
      </c>
      <c r="E84" s="10" t="s">
        <v>59</v>
      </c>
      <c r="F84" s="25"/>
      <c r="G84" s="25"/>
      <c r="H84" s="21" t="s">
        <v>60</v>
      </c>
    </row>
    <row r="85" spans="1:8" ht="16.2" thickBot="1" x14ac:dyDescent="0.35">
      <c r="A85" s="126"/>
      <c r="B85" s="7">
        <v>46191</v>
      </c>
      <c r="C85" s="8">
        <v>0.16666666666666666</v>
      </c>
      <c r="D85" s="9" t="s">
        <v>6</v>
      </c>
      <c r="E85" s="10" t="s">
        <v>61</v>
      </c>
      <c r="F85" s="25"/>
      <c r="G85" s="25"/>
      <c r="H85" s="21" t="s">
        <v>62</v>
      </c>
    </row>
    <row r="86" spans="1:8" ht="16.2" thickBot="1" x14ac:dyDescent="0.35">
      <c r="A86" s="126"/>
      <c r="B86" s="7">
        <v>46196</v>
      </c>
      <c r="C86" s="8">
        <v>0.79166666666666663</v>
      </c>
      <c r="D86" s="9" t="s">
        <v>11</v>
      </c>
      <c r="E86" s="10" t="s">
        <v>59</v>
      </c>
      <c r="F86" s="24"/>
      <c r="G86" s="24"/>
      <c r="H86" s="21" t="s">
        <v>61</v>
      </c>
    </row>
    <row r="87" spans="1:8" ht="16.2" thickBot="1" x14ac:dyDescent="0.35">
      <c r="A87" s="126"/>
      <c r="B87" s="7">
        <v>46197</v>
      </c>
      <c r="C87" s="8">
        <v>0.16666666666666666</v>
      </c>
      <c r="D87" s="9" t="s">
        <v>11</v>
      </c>
      <c r="E87" s="10" t="s">
        <v>62</v>
      </c>
      <c r="F87" s="24"/>
      <c r="G87" s="24"/>
      <c r="H87" s="21" t="s">
        <v>60</v>
      </c>
    </row>
    <row r="88" spans="1:8" ht="16.2" thickBot="1" x14ac:dyDescent="0.35">
      <c r="A88" s="126"/>
      <c r="B88" s="7">
        <v>46201</v>
      </c>
      <c r="C88" s="8">
        <v>6.25E-2</v>
      </c>
      <c r="D88" s="9" t="s">
        <v>12</v>
      </c>
      <c r="E88" s="10" t="s">
        <v>62</v>
      </c>
      <c r="F88" s="24"/>
      <c r="G88" s="24"/>
      <c r="H88" s="21" t="s">
        <v>59</v>
      </c>
    </row>
    <row r="89" spans="1:8" ht="16.2" thickBot="1" x14ac:dyDescent="0.35">
      <c r="A89" s="127"/>
      <c r="B89" s="12">
        <v>46201</v>
      </c>
      <c r="C89" s="13">
        <v>6.25E-2</v>
      </c>
      <c r="D89" s="14" t="s">
        <v>12</v>
      </c>
      <c r="E89" s="15" t="s">
        <v>60</v>
      </c>
      <c r="F89" s="24"/>
      <c r="G89" s="24"/>
      <c r="H89" s="21" t="s">
        <v>61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83</v>
      </c>
      <c r="F91" s="6" t="s">
        <v>4</v>
      </c>
      <c r="G91" s="6" t="s">
        <v>4</v>
      </c>
      <c r="H91" s="4" t="s">
        <v>84</v>
      </c>
    </row>
    <row r="92" spans="1:8" ht="16.2" thickBot="1" x14ac:dyDescent="0.35">
      <c r="A92" s="107" t="s">
        <v>63</v>
      </c>
      <c r="B92" s="7">
        <v>46190</v>
      </c>
      <c r="C92" s="8">
        <v>0.91666666666666663</v>
      </c>
      <c r="D92" s="9" t="s">
        <v>6</v>
      </c>
      <c r="E92" s="10" t="s">
        <v>64</v>
      </c>
      <c r="F92" s="25"/>
      <c r="G92" s="25"/>
      <c r="H92" s="21" t="s">
        <v>65</v>
      </c>
    </row>
    <row r="93" spans="1:8" ht="16.2" thickBot="1" x14ac:dyDescent="0.35">
      <c r="A93" s="108"/>
      <c r="B93" s="7">
        <v>46191</v>
      </c>
      <c r="C93" s="8">
        <v>4.1666666666666664E-2</v>
      </c>
      <c r="D93" s="9" t="s">
        <v>6</v>
      </c>
      <c r="E93" s="10" t="s">
        <v>66</v>
      </c>
      <c r="F93" s="25"/>
      <c r="G93" s="25"/>
      <c r="H93" s="21" t="s">
        <v>67</v>
      </c>
    </row>
    <row r="94" spans="1:8" ht="16.2" thickBot="1" x14ac:dyDescent="0.35">
      <c r="A94" s="108"/>
      <c r="B94" s="7">
        <v>46196</v>
      </c>
      <c r="C94" s="8">
        <v>0.91666666666666663</v>
      </c>
      <c r="D94" s="9" t="s">
        <v>11</v>
      </c>
      <c r="E94" s="10" t="s">
        <v>64</v>
      </c>
      <c r="F94" s="24"/>
      <c r="G94" s="24"/>
      <c r="H94" s="21" t="s">
        <v>66</v>
      </c>
    </row>
    <row r="95" spans="1:8" ht="16.2" thickBot="1" x14ac:dyDescent="0.35">
      <c r="A95" s="108"/>
      <c r="B95" s="7">
        <v>46197</v>
      </c>
      <c r="C95" s="8">
        <v>4.1666666666666664E-2</v>
      </c>
      <c r="D95" s="9" t="s">
        <v>11</v>
      </c>
      <c r="E95" s="10" t="s">
        <v>67</v>
      </c>
      <c r="F95" s="24"/>
      <c r="G95" s="24"/>
      <c r="H95" s="21" t="s">
        <v>65</v>
      </c>
    </row>
    <row r="96" spans="1:8" ht="16.2" thickBot="1" x14ac:dyDescent="0.35">
      <c r="A96" s="108"/>
      <c r="B96" s="7">
        <v>46200</v>
      </c>
      <c r="C96" s="8">
        <v>0.95833333333333337</v>
      </c>
      <c r="D96" s="9" t="s">
        <v>12</v>
      </c>
      <c r="E96" s="10" t="s">
        <v>67</v>
      </c>
      <c r="F96" s="24"/>
      <c r="G96" s="24"/>
      <c r="H96" s="21" t="s">
        <v>64</v>
      </c>
    </row>
    <row r="97" spans="1:8" ht="16.2" thickBot="1" x14ac:dyDescent="0.35">
      <c r="A97" s="109"/>
      <c r="B97" s="12">
        <v>46200</v>
      </c>
      <c r="C97" s="13">
        <v>0.95833333333333337</v>
      </c>
      <c r="D97" s="14" t="s">
        <v>12</v>
      </c>
      <c r="E97" s="15" t="s">
        <v>65</v>
      </c>
      <c r="F97" s="24"/>
      <c r="G97" s="24"/>
      <c r="H97" s="21" t="s">
        <v>66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H9" sqref="H9"/>
    </sheetView>
  </sheetViews>
  <sheetFormatPr baseColWidth="10" defaultRowHeight="15.6" x14ac:dyDescent="0.3"/>
  <cols>
    <col min="1" max="1" width="10.44140625" style="29" bestFit="1" customWidth="1"/>
    <col min="2" max="3" width="11.5546875" style="29"/>
    <col min="4" max="4" width="10.44140625" style="29" bestFit="1" customWidth="1"/>
    <col min="5" max="5" width="9.5546875" style="29" bestFit="1" customWidth="1"/>
    <col min="6" max="6" width="8.6640625" style="29" bestFit="1" customWidth="1"/>
    <col min="7" max="16384" width="11.5546875" style="29"/>
  </cols>
  <sheetData>
    <row r="1" spans="1:6" x14ac:dyDescent="0.3">
      <c r="D1" s="143" t="s">
        <v>72</v>
      </c>
      <c r="E1" s="144"/>
      <c r="F1" s="145"/>
    </row>
    <row r="2" spans="1:6" x14ac:dyDescent="0.3">
      <c r="D2" s="146" t="s">
        <v>73</v>
      </c>
      <c r="E2" s="147"/>
      <c r="F2" s="148"/>
    </row>
    <row r="4" spans="1:6" s="30" customFormat="1" x14ac:dyDescent="0.3">
      <c r="A4" s="57" t="s">
        <v>70</v>
      </c>
      <c r="B4" s="57" t="s">
        <v>69</v>
      </c>
      <c r="D4" s="30" t="s">
        <v>68</v>
      </c>
      <c r="E4" s="30" t="s">
        <v>70</v>
      </c>
      <c r="F4" s="30" t="s">
        <v>69</v>
      </c>
    </row>
    <row r="5" spans="1:6" x14ac:dyDescent="0.3">
      <c r="A5" s="58" t="s">
        <v>74</v>
      </c>
      <c r="B5" s="58">
        <f>Cindy!L4</f>
        <v>2</v>
      </c>
      <c r="D5" s="59">
        <v>1</v>
      </c>
      <c r="E5" s="59" t="str" cm="1">
        <f t="array" ref="E5:F13">_xlfn._xlws.SORT(A5:B13,2,-1)</f>
        <v>Wendy</v>
      </c>
      <c r="F5" s="59">
        <v>3</v>
      </c>
    </row>
    <row r="6" spans="1:6" x14ac:dyDescent="0.3">
      <c r="A6" s="58" t="s">
        <v>75</v>
      </c>
      <c r="B6" s="58">
        <f>Wendy!L4</f>
        <v>3</v>
      </c>
      <c r="D6" s="55">
        <v>2</v>
      </c>
      <c r="E6" s="55" t="str">
        <v>Jimmy</v>
      </c>
      <c r="F6" s="55">
        <v>3</v>
      </c>
    </row>
    <row r="7" spans="1:6" x14ac:dyDescent="0.3">
      <c r="A7" s="58" t="s">
        <v>77</v>
      </c>
      <c r="B7" s="58">
        <f>Jimmy!L4</f>
        <v>3</v>
      </c>
      <c r="D7" s="56">
        <v>3</v>
      </c>
      <c r="E7" s="56" t="str">
        <v>Erick</v>
      </c>
      <c r="F7" s="56">
        <v>3</v>
      </c>
    </row>
    <row r="8" spans="1:6" x14ac:dyDescent="0.3">
      <c r="A8" s="58" t="s">
        <v>79</v>
      </c>
      <c r="B8" s="58">
        <f>Erick!L4</f>
        <v>3</v>
      </c>
      <c r="D8" s="29">
        <v>4</v>
      </c>
      <c r="E8" s="29" t="str">
        <v>Erik</v>
      </c>
      <c r="F8" s="29">
        <v>3</v>
      </c>
    </row>
    <row r="9" spans="1:6" x14ac:dyDescent="0.3">
      <c r="A9" s="58" t="s">
        <v>80</v>
      </c>
      <c r="B9" s="58">
        <f>Erik!L4</f>
        <v>3</v>
      </c>
      <c r="D9" s="29">
        <v>5</v>
      </c>
      <c r="E9" s="29" t="str">
        <v>Lennon</v>
      </c>
      <c r="F9" s="29">
        <v>3</v>
      </c>
    </row>
    <row r="10" spans="1:6" x14ac:dyDescent="0.3">
      <c r="A10" s="58" t="s">
        <v>81</v>
      </c>
      <c r="B10" s="58">
        <f>Lennon!L4</f>
        <v>3</v>
      </c>
      <c r="D10" s="29">
        <v>6</v>
      </c>
      <c r="E10" s="29" t="str">
        <v>Yulian</v>
      </c>
      <c r="F10" s="29">
        <v>3</v>
      </c>
    </row>
    <row r="11" spans="1:6" x14ac:dyDescent="0.3">
      <c r="A11" s="58" t="s">
        <v>82</v>
      </c>
      <c r="B11" s="58">
        <f>Yulian!L4</f>
        <v>3</v>
      </c>
      <c r="D11" s="29">
        <v>7</v>
      </c>
      <c r="E11" s="29" t="str">
        <v>Cindy</v>
      </c>
      <c r="F11" s="29">
        <v>2</v>
      </c>
    </row>
    <row r="12" spans="1:6" x14ac:dyDescent="0.3">
      <c r="A12" s="58" t="s">
        <v>76</v>
      </c>
      <c r="B12" s="58">
        <f>Packy!L4</f>
        <v>2</v>
      </c>
      <c r="D12" s="29">
        <v>8</v>
      </c>
      <c r="E12" s="29" t="str">
        <v>Packy</v>
      </c>
      <c r="F12" s="29">
        <v>2</v>
      </c>
    </row>
    <row r="13" spans="1:6" x14ac:dyDescent="0.3">
      <c r="A13" s="58" t="s">
        <v>78</v>
      </c>
      <c r="B13" s="58">
        <f>Bere!L4</f>
        <v>0</v>
      </c>
      <c r="D13" s="29">
        <v>9</v>
      </c>
      <c r="E13" s="29" t="str">
        <v>Bere</v>
      </c>
      <c r="F13" s="29">
        <v>0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zoomScale="143" workbookViewId="0">
      <selection activeCell="E3" sqref="E3:H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104"/>
      <c r="B2" s="105"/>
      <c r="C2" s="105"/>
      <c r="D2" s="105"/>
      <c r="E2" s="105"/>
      <c r="F2" s="105"/>
      <c r="G2" s="105"/>
      <c r="H2" s="106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2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2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2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1</v>
      </c>
      <c r="G8" s="42">
        <v>2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1</v>
      </c>
      <c r="G9" s="42">
        <v>2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2</v>
      </c>
      <c r="G14" s="42">
        <v>0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2</v>
      </c>
      <c r="G15" s="42">
        <v>0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1</v>
      </c>
      <c r="G16" s="42">
        <v>0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1</v>
      </c>
      <c r="G17" s="42">
        <v>0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2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1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3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0</v>
      </c>
      <c r="G24" s="42">
        <v>2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2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0</v>
      </c>
      <c r="G29" s="52">
        <v>1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1</v>
      </c>
      <c r="G30" s="42">
        <v>0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2</v>
      </c>
      <c r="G31" s="42">
        <v>1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1</v>
      </c>
      <c r="G32" s="42">
        <v>1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1</v>
      </c>
      <c r="G33" s="42">
        <v>0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3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1</v>
      </c>
      <c r="G37" s="52">
        <v>1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2</v>
      </c>
      <c r="G38" s="42">
        <v>0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2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2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0</v>
      </c>
      <c r="G41" s="42">
        <v>2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2</v>
      </c>
      <c r="G44" s="52">
        <v>1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1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1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0</v>
      </c>
      <c r="G47" s="42">
        <v>1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1</v>
      </c>
      <c r="G48" s="42">
        <v>0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2</v>
      </c>
      <c r="G52" s="52">
        <v>0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1</v>
      </c>
      <c r="G53" s="52">
        <v>0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2</v>
      </c>
      <c r="G54" s="42">
        <v>0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1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1</v>
      </c>
      <c r="G56" s="42">
        <v>1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0</v>
      </c>
      <c r="G57" s="42">
        <v>2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0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3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2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1</v>
      </c>
      <c r="G64" s="42">
        <v>1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1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2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0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2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2</v>
      </c>
      <c r="G71" s="42">
        <v>1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1</v>
      </c>
      <c r="G72" s="42">
        <v>2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2</v>
      </c>
      <c r="G73" s="42">
        <v>0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2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2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0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0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1</v>
      </c>
      <c r="G80" s="42">
        <v>1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2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1</v>
      </c>
      <c r="G85" s="52">
        <v>2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2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2</v>
      </c>
      <c r="G87" s="42">
        <v>0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1</v>
      </c>
      <c r="G88" s="42">
        <v>2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1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1</v>
      </c>
      <c r="G92" s="52">
        <v>1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1</v>
      </c>
      <c r="G93" s="52">
        <v>0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2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0</v>
      </c>
      <c r="G95" s="42">
        <v>2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0</v>
      </c>
      <c r="G96" s="42">
        <v>2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1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zoomScale="155" workbookViewId="0">
      <selection activeCell="E3" sqref="E3:H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104"/>
      <c r="B2" s="105"/>
      <c r="C2" s="105"/>
      <c r="D2" s="105"/>
      <c r="E2" s="105"/>
      <c r="F2" s="105"/>
      <c r="G2" s="105"/>
      <c r="H2" s="106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2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3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1</v>
      </c>
      <c r="G8" s="42">
        <v>2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1</v>
      </c>
      <c r="G9" s="42">
        <v>1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1</v>
      </c>
      <c r="G14" s="42">
        <v>0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2</v>
      </c>
      <c r="G15" s="42">
        <v>1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0</v>
      </c>
      <c r="G16" s="42">
        <v>2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0</v>
      </c>
      <c r="G17" s="42">
        <v>1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2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1</v>
      </c>
      <c r="G22" s="42">
        <v>1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4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1</v>
      </c>
      <c r="G24" s="42">
        <v>3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2</v>
      </c>
      <c r="G25" s="42">
        <v>2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1</v>
      </c>
      <c r="G29" s="52">
        <v>0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3</v>
      </c>
      <c r="G30" s="42">
        <v>1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0</v>
      </c>
      <c r="G31" s="42">
        <v>1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0</v>
      </c>
      <c r="G32" s="42">
        <v>1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2</v>
      </c>
      <c r="G33" s="42">
        <v>1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3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0</v>
      </c>
      <c r="G37" s="52">
        <v>1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4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3</v>
      </c>
      <c r="G39" s="42">
        <v>1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1</v>
      </c>
      <c r="G40" s="42">
        <v>1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3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1</v>
      </c>
      <c r="G44" s="52">
        <v>2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1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0</v>
      </c>
      <c r="G46" s="42">
        <v>1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0</v>
      </c>
      <c r="G47" s="42">
        <v>1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1</v>
      </c>
      <c r="G48" s="42">
        <v>1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1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2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1</v>
      </c>
      <c r="G53" s="52">
        <v>1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1</v>
      </c>
      <c r="G54" s="42">
        <v>1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1</v>
      </c>
      <c r="G55" s="42">
        <v>1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0</v>
      </c>
      <c r="G56" s="42">
        <v>1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0</v>
      </c>
      <c r="G57" s="42">
        <v>2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1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2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3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1</v>
      </c>
      <c r="G64" s="42">
        <v>1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2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3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1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3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2</v>
      </c>
      <c r="G71" s="42">
        <v>0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1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1</v>
      </c>
      <c r="G73" s="42">
        <v>1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3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1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3</v>
      </c>
      <c r="G78" s="42">
        <v>1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0</v>
      </c>
      <c r="G79" s="42">
        <v>0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0</v>
      </c>
      <c r="G80" s="42">
        <v>1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3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0</v>
      </c>
      <c r="G85" s="52">
        <v>2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4</v>
      </c>
      <c r="G86" s="42">
        <v>1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3</v>
      </c>
      <c r="G87" s="42">
        <v>1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1</v>
      </c>
      <c r="G88" s="42">
        <v>2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0</v>
      </c>
      <c r="G89" s="42">
        <v>0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2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1</v>
      </c>
      <c r="G93" s="52">
        <v>2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2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1</v>
      </c>
      <c r="G95" s="42">
        <v>1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1</v>
      </c>
      <c r="G96" s="42">
        <v>2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0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zoomScale="96" workbookViewId="0">
      <selection activeCell="H3" sqref="E3:H3"/>
    </sheetView>
  </sheetViews>
  <sheetFormatPr baseColWidth="10" defaultRowHeight="15.6" x14ac:dyDescent="0.3"/>
  <cols>
    <col min="1" max="1" width="2.6640625" style="1" bestFit="1" customWidth="1"/>
    <col min="2" max="2" width="11.21875" style="1" bestFit="1" customWidth="1"/>
    <col min="3" max="3" width="6" style="1" bestFit="1" customWidth="1"/>
    <col min="4" max="4" width="4.77734375" style="1" bestFit="1" customWidth="1"/>
    <col min="5" max="5" width="21.6640625" style="2" bestFit="1" customWidth="1"/>
    <col min="6" max="7" width="4.554687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104"/>
      <c r="B2" s="105"/>
      <c r="C2" s="105"/>
      <c r="D2" s="105"/>
      <c r="E2" s="105"/>
      <c r="F2" s="105"/>
      <c r="G2" s="105"/>
      <c r="H2" s="106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2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2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1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0</v>
      </c>
      <c r="G8" s="42">
        <v>1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0</v>
      </c>
      <c r="G9" s="42">
        <v>3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2</v>
      </c>
      <c r="G14" s="42">
        <v>1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1</v>
      </c>
      <c r="G15" s="42">
        <v>0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0</v>
      </c>
      <c r="G16" s="42">
        <v>1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1</v>
      </c>
      <c r="G17" s="42">
        <v>1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2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2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4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0</v>
      </c>
      <c r="G24" s="42">
        <v>2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4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0</v>
      </c>
      <c r="G29" s="52">
        <v>2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2</v>
      </c>
      <c r="G30" s="42">
        <v>0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2</v>
      </c>
      <c r="G31" s="42">
        <v>0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1</v>
      </c>
      <c r="G32" s="42">
        <v>2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1</v>
      </c>
      <c r="G33" s="42">
        <v>1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4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0</v>
      </c>
      <c r="G37" s="52">
        <v>2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3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2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3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1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0</v>
      </c>
      <c r="G44" s="52">
        <v>2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2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2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0</v>
      </c>
      <c r="G47" s="42">
        <v>2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2</v>
      </c>
      <c r="G48" s="42">
        <v>0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2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3</v>
      </c>
      <c r="G52" s="52">
        <v>0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2</v>
      </c>
      <c r="G53" s="52">
        <v>2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3</v>
      </c>
      <c r="G54" s="42">
        <v>0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2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2</v>
      </c>
      <c r="G56" s="42">
        <v>2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0</v>
      </c>
      <c r="G57" s="42">
        <v>3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4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0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3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2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2</v>
      </c>
      <c r="G64" s="42">
        <v>2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1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2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0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3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2</v>
      </c>
      <c r="G71" s="42">
        <v>0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0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2</v>
      </c>
      <c r="G73" s="42">
        <v>0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3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1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0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2</v>
      </c>
      <c r="G79" s="42">
        <v>2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0</v>
      </c>
      <c r="G80" s="42">
        <v>2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3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1</v>
      </c>
      <c r="G85" s="52">
        <v>2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2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2</v>
      </c>
      <c r="G87" s="42">
        <v>0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0</v>
      </c>
      <c r="G88" s="42">
        <v>2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0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0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1</v>
      </c>
      <c r="G93" s="52">
        <v>0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1</v>
      </c>
      <c r="G94" s="42">
        <v>1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0</v>
      </c>
      <c r="G95" s="42">
        <v>1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0</v>
      </c>
      <c r="G96" s="42">
        <v>2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0</v>
      </c>
      <c r="G97" s="42">
        <v>2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8"/>
  <sheetViews>
    <sheetView zoomScale="121" workbookViewId="0">
      <selection activeCell="E87" sqref="E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21.6640625" style="2" bestFit="1" customWidth="1"/>
    <col min="6" max="7" width="4.554687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104"/>
      <c r="B2" s="105"/>
      <c r="C2" s="105"/>
      <c r="D2" s="105"/>
      <c r="E2" s="105"/>
      <c r="F2" s="105"/>
      <c r="G2" s="105"/>
      <c r="H2" s="106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3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1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0</v>
      </c>
      <c r="G8" s="42">
        <v>1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0</v>
      </c>
      <c r="G9" s="42">
        <v>3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1</v>
      </c>
      <c r="G14" s="42">
        <v>2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2</v>
      </c>
      <c r="G15" s="42">
        <v>0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2</v>
      </c>
      <c r="G16" s="42">
        <v>1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2</v>
      </c>
      <c r="G17" s="42">
        <v>0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1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1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5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0</v>
      </c>
      <c r="G24" s="42">
        <v>3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2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0</v>
      </c>
      <c r="G29" s="52">
        <v>2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3</v>
      </c>
      <c r="G30" s="42">
        <v>0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2</v>
      </c>
      <c r="G31" s="42">
        <v>0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1</v>
      </c>
      <c r="G32" s="42">
        <v>2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2</v>
      </c>
      <c r="G33" s="42">
        <v>0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4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1</v>
      </c>
      <c r="G37" s="52">
        <v>1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2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3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2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2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1</v>
      </c>
      <c r="G44" s="52">
        <v>0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2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1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0</v>
      </c>
      <c r="G47" s="42">
        <v>2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2</v>
      </c>
      <c r="G48" s="42">
        <v>1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2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1</v>
      </c>
      <c r="G53" s="52">
        <v>0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2</v>
      </c>
      <c r="G54" s="42">
        <v>0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2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2</v>
      </c>
      <c r="G56" s="42">
        <v>1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1</v>
      </c>
      <c r="G57" s="42">
        <v>4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0</v>
      </c>
      <c r="G61" s="52">
        <v>3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3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3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0</v>
      </c>
      <c r="G64" s="42">
        <v>1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1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3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0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4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3</v>
      </c>
      <c r="G71" s="42">
        <v>1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1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2</v>
      </c>
      <c r="G73" s="42">
        <v>0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4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2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0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2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1</v>
      </c>
      <c r="G80" s="42">
        <v>3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4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4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1</v>
      </c>
      <c r="G85" s="52">
        <v>3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4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2</v>
      </c>
      <c r="G87" s="42">
        <v>0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2</v>
      </c>
      <c r="G88" s="42">
        <v>3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2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1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2</v>
      </c>
      <c r="G93" s="52">
        <v>0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2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0</v>
      </c>
      <c r="G95" s="42">
        <v>3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0</v>
      </c>
      <c r="G96" s="42">
        <v>4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3</v>
      </c>
      <c r="G97" s="42">
        <v>1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  <row r="98" spans="1:10" x14ac:dyDescent="0.3">
      <c r="A98" s="60"/>
      <c r="B98" s="60"/>
      <c r="C98" s="60"/>
      <c r="D98" s="60"/>
      <c r="E98" s="61"/>
      <c r="F98" s="61"/>
      <c r="G98" s="61"/>
      <c r="H98" s="60"/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workbookViewId="0">
      <selection activeCell="E3" sqref="E3:H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6" width="4.5546875" style="2" bestFit="1" customWidth="1"/>
    <col min="7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0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/>
      <c r="G6" s="42"/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/>
      <c r="G7" s="42"/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/>
      <c r="G8" s="42"/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/>
      <c r="G9" s="42"/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/>
      <c r="G14" s="42"/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/>
      <c r="G15" s="42"/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/>
      <c r="G16" s="42"/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/>
      <c r="G17" s="42"/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/>
      <c r="G21" s="52"/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0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/>
      <c r="G22" s="42"/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/>
      <c r="G23" s="42"/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/>
      <c r="G24" s="42"/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/>
      <c r="G25" s="42"/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/>
      <c r="G29" s="52"/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/>
      <c r="G30" s="42"/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/>
      <c r="G31" s="42"/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/>
      <c r="G32" s="42"/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/>
      <c r="G33" s="42"/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/>
      <c r="G36" s="52"/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0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/>
      <c r="G37" s="52"/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/>
      <c r="G38" s="42"/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/>
      <c r="G39" s="42"/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/>
      <c r="G40" s="42"/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/>
      <c r="G41" s="42"/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/>
      <c r="G44" s="52"/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/>
      <c r="G45" s="52"/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/>
      <c r="G46" s="42"/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/>
      <c r="G47" s="42"/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/>
      <c r="G48" s="42"/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/>
      <c r="G49" s="42"/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/>
      <c r="G52" s="52"/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/>
      <c r="G53" s="52"/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/>
      <c r="G54" s="42"/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/>
      <c r="G55" s="42"/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/>
      <c r="G56" s="42"/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/>
      <c r="G57" s="42"/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/>
      <c r="G60" s="52"/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/>
      <c r="G61" s="52"/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/>
      <c r="G62" s="42"/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/>
      <c r="G63" s="42"/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/>
      <c r="G64" s="42"/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/>
      <c r="G65" s="42"/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/>
      <c r="G68" s="52"/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/>
      <c r="G69" s="52"/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/>
      <c r="G70" s="42"/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/>
      <c r="G71" s="42"/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/>
      <c r="G72" s="42"/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/>
      <c r="G73" s="42"/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/>
      <c r="G76" s="52"/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/>
      <c r="G77" s="52"/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/>
      <c r="G78" s="42"/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/>
      <c r="G79" s="42"/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/>
      <c r="G80" s="42"/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/>
      <c r="G81" s="42"/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/>
      <c r="G84" s="52"/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/>
      <c r="G85" s="52"/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/>
      <c r="G86" s="42"/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/>
      <c r="G87" s="42"/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/>
      <c r="G88" s="42"/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/>
      <c r="G89" s="42"/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/>
      <c r="G92" s="52"/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/>
      <c r="G93" s="52"/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/>
      <c r="G94" s="42"/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/>
      <c r="G95" s="42"/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/>
      <c r="G96" s="42"/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/>
      <c r="G97" s="42"/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="137" workbookViewId="0">
      <selection activeCell="E7" sqref="A1:XFD104857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21.6640625" style="2" bestFit="1" customWidth="1"/>
    <col min="6" max="6" width="4.5546875" style="2" bestFit="1" customWidth="1"/>
    <col min="7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2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2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0</v>
      </c>
      <c r="G8" s="42">
        <v>1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0</v>
      </c>
      <c r="G9" s="42">
        <v>2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1</v>
      </c>
      <c r="G14" s="42">
        <v>1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2</v>
      </c>
      <c r="G15" s="42">
        <v>1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1</v>
      </c>
      <c r="G16" s="42">
        <v>1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1</v>
      </c>
      <c r="G17" s="42">
        <v>0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1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3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5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0</v>
      </c>
      <c r="G24" s="42">
        <v>3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4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0</v>
      </c>
      <c r="G29" s="52">
        <v>2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3</v>
      </c>
      <c r="G30" s="42">
        <v>0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1</v>
      </c>
      <c r="G31" s="42">
        <v>1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0</v>
      </c>
      <c r="G32" s="42">
        <v>2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1</v>
      </c>
      <c r="G33" s="42">
        <v>0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5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1</v>
      </c>
      <c r="G37" s="52">
        <v>1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2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3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2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3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1</v>
      </c>
      <c r="G44" s="52">
        <v>1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2</v>
      </c>
      <c r="G45" s="52">
        <v>2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2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1</v>
      </c>
      <c r="G47" s="42">
        <v>1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1</v>
      </c>
      <c r="G48" s="42">
        <v>2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1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2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2</v>
      </c>
      <c r="G53" s="52">
        <v>1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2</v>
      </c>
      <c r="G54" s="42">
        <v>2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1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1</v>
      </c>
      <c r="G56" s="42">
        <v>1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1</v>
      </c>
      <c r="G57" s="42">
        <v>2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0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2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3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0</v>
      </c>
      <c r="G64" s="42">
        <v>2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2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2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1</v>
      </c>
      <c r="G69" s="52">
        <v>1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2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1</v>
      </c>
      <c r="G71" s="42">
        <v>1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0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1</v>
      </c>
      <c r="G73" s="42">
        <v>1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2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1</v>
      </c>
      <c r="G77" s="52">
        <v>1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0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1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1</v>
      </c>
      <c r="G80" s="42">
        <v>2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2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1</v>
      </c>
      <c r="G85" s="52">
        <v>2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2</v>
      </c>
      <c r="G86" s="42">
        <v>1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2</v>
      </c>
      <c r="G87" s="42">
        <v>1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1</v>
      </c>
      <c r="G88" s="42">
        <v>1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2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1</v>
      </c>
      <c r="G92" s="52">
        <v>0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2</v>
      </c>
      <c r="G93" s="52">
        <v>0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1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0</v>
      </c>
      <c r="G95" s="42">
        <v>2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0</v>
      </c>
      <c r="G96" s="42">
        <v>3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1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82" zoomScale="130" workbookViewId="0">
      <selection activeCell="E91" sqref="E91:H91"/>
    </sheetView>
  </sheetViews>
  <sheetFormatPr baseColWidth="10" defaultRowHeight="15.6" x14ac:dyDescent="0.3"/>
  <cols>
    <col min="1" max="1" width="2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6" width="4.33203125" style="2" bestFit="1" customWidth="1"/>
    <col min="7" max="7" width="4.554687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1</v>
      </c>
      <c r="G6" s="42">
        <v>1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2</v>
      </c>
      <c r="G7" s="42">
        <v>1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1</v>
      </c>
      <c r="G8" s="42">
        <v>1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1</v>
      </c>
      <c r="G9" s="42">
        <v>2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2</v>
      </c>
      <c r="G14" s="42">
        <v>0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1</v>
      </c>
      <c r="G15" s="42">
        <v>0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2</v>
      </c>
      <c r="G16" s="42">
        <v>1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0</v>
      </c>
      <c r="G17" s="42">
        <v>0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2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2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2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1</v>
      </c>
      <c r="G24" s="42">
        <v>3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3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3</v>
      </c>
      <c r="G29" s="52">
        <v>1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3</v>
      </c>
      <c r="G30" s="42">
        <v>1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1</v>
      </c>
      <c r="G31" s="42">
        <v>2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1</v>
      </c>
      <c r="G32" s="42">
        <v>1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1</v>
      </c>
      <c r="G33" s="42">
        <v>0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3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0</v>
      </c>
      <c r="G37" s="52">
        <v>2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2</v>
      </c>
      <c r="G38" s="42">
        <v>0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3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1</v>
      </c>
      <c r="G40" s="42">
        <v>1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2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0</v>
      </c>
      <c r="G44" s="52">
        <v>1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2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1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0</v>
      </c>
      <c r="G47" s="42">
        <v>2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2</v>
      </c>
      <c r="G48" s="42">
        <v>1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1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0</v>
      </c>
      <c r="G53" s="52">
        <v>2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1</v>
      </c>
      <c r="G54" s="42">
        <v>0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1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1</v>
      </c>
      <c r="G56" s="42">
        <v>1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1</v>
      </c>
      <c r="G57" s="42">
        <v>2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1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0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2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3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1</v>
      </c>
      <c r="G64" s="42">
        <v>2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2</v>
      </c>
      <c r="G65" s="42">
        <v>3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3</v>
      </c>
      <c r="G68" s="52">
        <v>2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1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1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2</v>
      </c>
      <c r="G71" s="42">
        <v>2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1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1</v>
      </c>
      <c r="G73" s="42">
        <v>0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2</v>
      </c>
      <c r="G76" s="52">
        <v>1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1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1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1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0</v>
      </c>
      <c r="G80" s="42">
        <v>2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2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1</v>
      </c>
      <c r="G85" s="52">
        <v>3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2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3</v>
      </c>
      <c r="G87" s="42">
        <v>2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2</v>
      </c>
      <c r="G88" s="42">
        <v>2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0</v>
      </c>
      <c r="G89" s="42">
        <v>0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1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0</v>
      </c>
      <c r="G93" s="52">
        <v>1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3</v>
      </c>
      <c r="G94" s="42">
        <v>1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1</v>
      </c>
      <c r="G95" s="42">
        <v>2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1</v>
      </c>
      <c r="G96" s="42">
        <v>1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0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9"/>
  <sheetViews>
    <sheetView topLeftCell="A91" zoomScale="139" workbookViewId="0">
      <selection activeCell="E91" sqref="E91:H9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21.6640625" style="2" bestFit="1" customWidth="1"/>
    <col min="6" max="6" width="4.33203125" style="2" bestFit="1" customWidth="1"/>
    <col min="7" max="7" width="4.554687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2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2</v>
      </c>
      <c r="G7" s="42">
        <v>2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1</v>
      </c>
      <c r="G8" s="42">
        <v>2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0</v>
      </c>
      <c r="G9" s="42">
        <v>3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0</v>
      </c>
      <c r="G14" s="42">
        <v>0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1</v>
      </c>
      <c r="G15" s="42">
        <v>1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2</v>
      </c>
      <c r="G16" s="42">
        <v>2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1</v>
      </c>
      <c r="G17" s="42">
        <v>1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1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0</v>
      </c>
      <c r="G22" s="42">
        <v>2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1</v>
      </c>
      <c r="G23" s="42">
        <v>0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1</v>
      </c>
      <c r="G24" s="42">
        <v>2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3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1</v>
      </c>
      <c r="G29" s="52">
        <v>2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2</v>
      </c>
      <c r="G30" s="42">
        <v>0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2</v>
      </c>
      <c r="G31" s="42">
        <v>0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3</v>
      </c>
      <c r="G32" s="42">
        <v>3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0</v>
      </c>
      <c r="G33" s="42">
        <v>2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2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2</v>
      </c>
      <c r="G37" s="52">
        <v>2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1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2</v>
      </c>
      <c r="G39" s="42">
        <v>0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2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2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2</v>
      </c>
      <c r="G44" s="52">
        <v>2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2</v>
      </c>
      <c r="G45" s="52">
        <v>0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1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1</v>
      </c>
      <c r="G47" s="42">
        <v>3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1</v>
      </c>
      <c r="G48" s="42">
        <v>1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3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2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0</v>
      </c>
      <c r="G53" s="52">
        <v>0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3</v>
      </c>
      <c r="G54" s="42">
        <v>0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2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2</v>
      </c>
      <c r="G56" s="42">
        <v>0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0</v>
      </c>
      <c r="G57" s="42">
        <v>3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1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2</v>
      </c>
      <c r="G62" s="42">
        <v>0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1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0</v>
      </c>
      <c r="G64" s="42">
        <v>0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2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2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0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4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1</v>
      </c>
      <c r="G71" s="42">
        <v>1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2</v>
      </c>
      <c r="G72" s="42">
        <v>2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1</v>
      </c>
      <c r="G73" s="42">
        <v>0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3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0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0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1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1</v>
      </c>
      <c r="G80" s="42">
        <v>1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0</v>
      </c>
      <c r="G81" s="42">
        <v>4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2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0</v>
      </c>
      <c r="G85" s="52">
        <v>2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3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2</v>
      </c>
      <c r="G87" s="42">
        <v>0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2</v>
      </c>
      <c r="G88" s="42">
        <v>3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1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2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1</v>
      </c>
      <c r="G93" s="52">
        <v>1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2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0</v>
      </c>
      <c r="G95" s="42">
        <v>2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3</v>
      </c>
      <c r="G96" s="42">
        <v>0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0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  <row r="98" spans="1:10" x14ac:dyDescent="0.3">
      <c r="A98" s="60"/>
      <c r="B98" s="60"/>
      <c r="C98" s="60"/>
      <c r="D98" s="60"/>
      <c r="E98" s="61"/>
      <c r="F98" s="61"/>
      <c r="G98" s="61"/>
      <c r="H98" s="60"/>
    </row>
    <row r="99" spans="1:10" x14ac:dyDescent="0.3">
      <c r="A99" s="60"/>
      <c r="B99" s="60"/>
      <c r="C99" s="60"/>
      <c r="D99" s="60"/>
      <c r="E99" s="61"/>
      <c r="F99" s="61"/>
      <c r="G99" s="61"/>
      <c r="H99" s="60"/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115"/>
  <sheetViews>
    <sheetView topLeftCell="A4" zoomScale="126" workbookViewId="0">
      <selection activeCell="L90" sqref="L9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21.6640625" style="2" bestFit="1" customWidth="1"/>
    <col min="6" max="7" width="4.554687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89" t="s">
        <v>0</v>
      </c>
      <c r="B1" s="90"/>
      <c r="C1" s="90"/>
      <c r="D1" s="90"/>
      <c r="E1" s="90"/>
      <c r="F1" s="90"/>
      <c r="G1" s="90"/>
      <c r="H1" s="91"/>
    </row>
    <row r="2" spans="1:12" ht="16.2" thickBot="1" x14ac:dyDescent="0.35">
      <c r="A2" s="92"/>
      <c r="B2" s="93"/>
      <c r="C2" s="93"/>
      <c r="D2" s="93"/>
      <c r="E2" s="93"/>
      <c r="F2" s="93"/>
      <c r="G2" s="93"/>
      <c r="H2" s="94"/>
    </row>
    <row r="3" spans="1:12" s="2" customFormat="1" ht="16.2" thickBot="1" x14ac:dyDescent="0.35">
      <c r="A3" s="32"/>
      <c r="B3" s="33" t="s">
        <v>1</v>
      </c>
      <c r="C3" s="33" t="s">
        <v>2</v>
      </c>
      <c r="D3" s="33" t="s">
        <v>3</v>
      </c>
      <c r="E3" s="34" t="s">
        <v>83</v>
      </c>
      <c r="F3" s="35" t="s">
        <v>4</v>
      </c>
      <c r="G3" s="35" t="s">
        <v>4</v>
      </c>
      <c r="H3" s="33" t="s">
        <v>84</v>
      </c>
      <c r="J3" s="31" t="s">
        <v>69</v>
      </c>
      <c r="L3" s="2" t="s">
        <v>71</v>
      </c>
    </row>
    <row r="4" spans="1:12" ht="16.2" thickBot="1" x14ac:dyDescent="0.35">
      <c r="A4" s="95" t="s">
        <v>5</v>
      </c>
      <c r="B4" s="36">
        <v>46184</v>
      </c>
      <c r="C4" s="37">
        <v>0.875</v>
      </c>
      <c r="D4" s="38" t="s">
        <v>6</v>
      </c>
      <c r="E4" s="39" t="s">
        <v>7</v>
      </c>
      <c r="F4" s="40">
        <v>2</v>
      </c>
      <c r="G4" s="40">
        <v>0</v>
      </c>
      <c r="H4" s="41" t="s">
        <v>8</v>
      </c>
      <c r="L4" s="1">
        <f>SUM(J:J)</f>
        <v>3</v>
      </c>
    </row>
    <row r="5" spans="1:12" ht="16.2" thickBot="1" x14ac:dyDescent="0.35">
      <c r="A5" s="96"/>
      <c r="B5" s="36">
        <v>46185</v>
      </c>
      <c r="C5" s="37">
        <v>0.16666666666666666</v>
      </c>
      <c r="D5" s="38" t="s">
        <v>6</v>
      </c>
      <c r="E5" s="39" t="s">
        <v>9</v>
      </c>
      <c r="F5" s="40">
        <v>2</v>
      </c>
      <c r="G5" s="40">
        <v>1</v>
      </c>
      <c r="H5" s="41" t="s">
        <v>10</v>
      </c>
    </row>
    <row r="6" spans="1:12" ht="16.2" thickBot="1" x14ac:dyDescent="0.35">
      <c r="A6" s="96"/>
      <c r="B6" s="36">
        <v>46191</v>
      </c>
      <c r="C6" s="37">
        <v>0.75</v>
      </c>
      <c r="D6" s="38" t="s">
        <v>11</v>
      </c>
      <c r="E6" s="39" t="s">
        <v>10</v>
      </c>
      <c r="F6" s="42">
        <v>1</v>
      </c>
      <c r="G6" s="42">
        <v>0</v>
      </c>
      <c r="H6" s="41" t="s">
        <v>8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6"/>
      <c r="B7" s="36">
        <v>46192</v>
      </c>
      <c r="C7" s="37">
        <v>0.125</v>
      </c>
      <c r="D7" s="38" t="s">
        <v>11</v>
      </c>
      <c r="E7" s="39" t="s">
        <v>7</v>
      </c>
      <c r="F7" s="42">
        <v>2</v>
      </c>
      <c r="G7" s="42">
        <v>2</v>
      </c>
      <c r="H7" s="41" t="s">
        <v>9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6"/>
      <c r="B8" s="36">
        <v>46198</v>
      </c>
      <c r="C8" s="37">
        <v>0.125</v>
      </c>
      <c r="D8" s="38" t="s">
        <v>12</v>
      </c>
      <c r="E8" s="39" t="s">
        <v>10</v>
      </c>
      <c r="F8" s="42">
        <v>1</v>
      </c>
      <c r="G8" s="42">
        <v>2</v>
      </c>
      <c r="H8" s="41" t="s">
        <v>7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7"/>
      <c r="B9" s="43">
        <v>46198</v>
      </c>
      <c r="C9" s="44">
        <v>0.125</v>
      </c>
      <c r="D9" s="45" t="s">
        <v>12</v>
      </c>
      <c r="E9" s="46" t="s">
        <v>8</v>
      </c>
      <c r="F9" s="42">
        <v>1</v>
      </c>
      <c r="G9" s="42">
        <v>1</v>
      </c>
      <c r="H9" s="47" t="s">
        <v>9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8"/>
      <c r="B10" s="49"/>
      <c r="C10" s="49"/>
      <c r="D10" s="49"/>
      <c r="E10" s="49"/>
      <c r="F10" s="49"/>
      <c r="G10" s="49"/>
      <c r="H10" s="50"/>
    </row>
    <row r="11" spans="1:12" ht="16.2" thickBot="1" x14ac:dyDescent="0.35">
      <c r="A11" s="51"/>
      <c r="B11" s="33" t="s">
        <v>1</v>
      </c>
      <c r="C11" s="33" t="s">
        <v>2</v>
      </c>
      <c r="D11" s="33" t="s">
        <v>3</v>
      </c>
      <c r="E11" s="34" t="s">
        <v>83</v>
      </c>
      <c r="F11" s="35" t="s">
        <v>4</v>
      </c>
      <c r="G11" s="35" t="s">
        <v>4</v>
      </c>
      <c r="H11" s="33" t="s">
        <v>84</v>
      </c>
    </row>
    <row r="12" spans="1:12" ht="16.2" thickBot="1" x14ac:dyDescent="0.35">
      <c r="A12" s="98" t="s">
        <v>13</v>
      </c>
      <c r="B12" s="36">
        <v>46185</v>
      </c>
      <c r="C12" s="37">
        <v>0.875</v>
      </c>
      <c r="D12" s="38" t="s">
        <v>6</v>
      </c>
      <c r="E12" s="39" t="s">
        <v>14</v>
      </c>
      <c r="F12" s="40">
        <v>1</v>
      </c>
      <c r="G12" s="40">
        <v>1</v>
      </c>
      <c r="H12" s="47" t="s">
        <v>15</v>
      </c>
    </row>
    <row r="13" spans="1:12" ht="16.2" thickBot="1" x14ac:dyDescent="0.35">
      <c r="A13" s="99"/>
      <c r="B13" s="36">
        <v>46186</v>
      </c>
      <c r="C13" s="37">
        <v>0.875</v>
      </c>
      <c r="D13" s="38" t="s">
        <v>6</v>
      </c>
      <c r="E13" s="39" t="s">
        <v>16</v>
      </c>
      <c r="F13" s="40">
        <v>1</v>
      </c>
      <c r="G13" s="40">
        <v>1</v>
      </c>
      <c r="H13" s="47" t="s">
        <v>17</v>
      </c>
    </row>
    <row r="14" spans="1:12" ht="16.2" thickBot="1" x14ac:dyDescent="0.35">
      <c r="A14" s="99"/>
      <c r="B14" s="36">
        <v>46191</v>
      </c>
      <c r="C14" s="37">
        <v>0.875</v>
      </c>
      <c r="D14" s="38" t="s">
        <v>11</v>
      </c>
      <c r="E14" s="39" t="s">
        <v>17</v>
      </c>
      <c r="F14" s="42">
        <v>0</v>
      </c>
      <c r="G14" s="42">
        <v>0</v>
      </c>
      <c r="H14" s="47" t="s">
        <v>15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9"/>
      <c r="B15" s="36">
        <v>46192</v>
      </c>
      <c r="C15" s="37">
        <v>0</v>
      </c>
      <c r="D15" s="38" t="s">
        <v>11</v>
      </c>
      <c r="E15" s="39" t="s">
        <v>14</v>
      </c>
      <c r="F15" s="42">
        <v>1</v>
      </c>
      <c r="G15" s="42">
        <v>1</v>
      </c>
      <c r="H15" s="47" t="s">
        <v>16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9"/>
      <c r="B16" s="36">
        <v>46197</v>
      </c>
      <c r="C16" s="37">
        <v>0.875</v>
      </c>
      <c r="D16" s="38" t="s">
        <v>12</v>
      </c>
      <c r="E16" s="39" t="s">
        <v>17</v>
      </c>
      <c r="F16" s="42">
        <v>1</v>
      </c>
      <c r="G16" s="42">
        <v>1</v>
      </c>
      <c r="H16" s="47" t="s">
        <v>14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0"/>
      <c r="B17" s="43">
        <v>46197</v>
      </c>
      <c r="C17" s="44">
        <v>0.875</v>
      </c>
      <c r="D17" s="45" t="s">
        <v>12</v>
      </c>
      <c r="E17" s="46" t="s">
        <v>15</v>
      </c>
      <c r="F17" s="42">
        <v>0</v>
      </c>
      <c r="G17" s="42">
        <v>1</v>
      </c>
      <c r="H17" s="47" t="s">
        <v>16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8"/>
      <c r="B18" s="49"/>
      <c r="C18" s="49"/>
      <c r="D18" s="49"/>
      <c r="E18" s="49"/>
      <c r="F18" s="49"/>
      <c r="G18" s="49"/>
      <c r="H18" s="50"/>
    </row>
    <row r="19" spans="1:10" ht="16.2" thickBot="1" x14ac:dyDescent="0.35">
      <c r="A19" s="51"/>
      <c r="B19" s="33" t="s">
        <v>1</v>
      </c>
      <c r="C19" s="33" t="s">
        <v>2</v>
      </c>
      <c r="D19" s="33" t="s">
        <v>3</v>
      </c>
      <c r="E19" s="34" t="s">
        <v>83</v>
      </c>
      <c r="F19" s="35" t="s">
        <v>4</v>
      </c>
      <c r="G19" s="35" t="s">
        <v>4</v>
      </c>
      <c r="H19" s="33" t="s">
        <v>84</v>
      </c>
    </row>
    <row r="20" spans="1:10" ht="16.2" thickBot="1" x14ac:dyDescent="0.35">
      <c r="A20" s="101" t="s">
        <v>18</v>
      </c>
      <c r="B20" s="36">
        <v>46187</v>
      </c>
      <c r="C20" s="37">
        <v>0</v>
      </c>
      <c r="D20" s="38" t="s">
        <v>6</v>
      </c>
      <c r="E20" s="39" t="s">
        <v>19</v>
      </c>
      <c r="F20" s="40">
        <v>1</v>
      </c>
      <c r="G20" s="40">
        <v>1</v>
      </c>
      <c r="H20" s="47" t="s">
        <v>20</v>
      </c>
    </row>
    <row r="21" spans="1:10" ht="16.2" thickBot="1" x14ac:dyDescent="0.35">
      <c r="A21" s="102"/>
      <c r="B21" s="36">
        <v>46187</v>
      </c>
      <c r="C21" s="37">
        <v>0.125</v>
      </c>
      <c r="D21" s="38" t="s">
        <v>6</v>
      </c>
      <c r="E21" s="39" t="s">
        <v>21</v>
      </c>
      <c r="F21" s="52">
        <v>0</v>
      </c>
      <c r="G21" s="52">
        <v>1</v>
      </c>
      <c r="H21" s="47" t="s">
        <v>22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36">
        <v>46193</v>
      </c>
      <c r="C22" s="37">
        <v>0</v>
      </c>
      <c r="D22" s="38" t="s">
        <v>11</v>
      </c>
      <c r="E22" s="39" t="s">
        <v>22</v>
      </c>
      <c r="F22" s="42">
        <v>1</v>
      </c>
      <c r="G22" s="42">
        <v>2</v>
      </c>
      <c r="H22" s="47" t="s">
        <v>20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2"/>
      <c r="B23" s="36">
        <v>46193</v>
      </c>
      <c r="C23" s="37">
        <v>0.10416666666666667</v>
      </c>
      <c r="D23" s="38" t="s">
        <v>11</v>
      </c>
      <c r="E23" s="39" t="s">
        <v>19</v>
      </c>
      <c r="F23" s="42">
        <v>3</v>
      </c>
      <c r="G23" s="42">
        <v>1</v>
      </c>
      <c r="H23" s="47" t="s">
        <v>21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2"/>
      <c r="B24" s="36">
        <v>46198</v>
      </c>
      <c r="C24" s="37">
        <v>0</v>
      </c>
      <c r="D24" s="38" t="s">
        <v>12</v>
      </c>
      <c r="E24" s="39" t="s">
        <v>22</v>
      </c>
      <c r="F24" s="42">
        <v>2</v>
      </c>
      <c r="G24" s="42">
        <v>3</v>
      </c>
      <c r="H24" s="47" t="s">
        <v>19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3"/>
      <c r="B25" s="43">
        <v>46198</v>
      </c>
      <c r="C25" s="44">
        <v>0</v>
      </c>
      <c r="D25" s="45" t="s">
        <v>12</v>
      </c>
      <c r="E25" s="46" t="s">
        <v>20</v>
      </c>
      <c r="F25" s="42">
        <v>2</v>
      </c>
      <c r="G25" s="42">
        <v>0</v>
      </c>
      <c r="H25" s="47" t="s">
        <v>21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1"/>
      <c r="B27" s="33" t="s">
        <v>1</v>
      </c>
      <c r="C27" s="33" t="s">
        <v>2</v>
      </c>
      <c r="D27" s="33" t="s">
        <v>3</v>
      </c>
      <c r="E27" s="34" t="s">
        <v>83</v>
      </c>
      <c r="F27" s="35" t="s">
        <v>4</v>
      </c>
      <c r="G27" s="35" t="s">
        <v>4</v>
      </c>
      <c r="H27" s="33" t="s">
        <v>84</v>
      </c>
    </row>
    <row r="28" spans="1:10" ht="16.2" thickBot="1" x14ac:dyDescent="0.35">
      <c r="A28" s="86" t="s">
        <v>23</v>
      </c>
      <c r="B28" s="36">
        <v>46186</v>
      </c>
      <c r="C28" s="37">
        <v>0.125</v>
      </c>
      <c r="D28" s="38" t="s">
        <v>6</v>
      </c>
      <c r="E28" s="39" t="s">
        <v>24</v>
      </c>
      <c r="F28" s="40">
        <v>4</v>
      </c>
      <c r="G28" s="40">
        <v>1</v>
      </c>
      <c r="H28" s="47" t="s">
        <v>25</v>
      </c>
    </row>
    <row r="29" spans="1:10" ht="16.2" thickBot="1" x14ac:dyDescent="0.35">
      <c r="A29" s="87"/>
      <c r="B29" s="36">
        <v>46187</v>
      </c>
      <c r="C29" s="37">
        <v>0.25</v>
      </c>
      <c r="D29" s="38" t="s">
        <v>6</v>
      </c>
      <c r="E29" s="39" t="s">
        <v>26</v>
      </c>
      <c r="F29" s="52">
        <v>1</v>
      </c>
      <c r="G29" s="52">
        <v>2</v>
      </c>
      <c r="H29" s="47" t="s">
        <v>27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87"/>
      <c r="B30" s="36">
        <v>46192</v>
      </c>
      <c r="C30" s="37">
        <v>0.875</v>
      </c>
      <c r="D30" s="38" t="s">
        <v>11</v>
      </c>
      <c r="E30" s="39" t="s">
        <v>24</v>
      </c>
      <c r="F30" s="42">
        <v>2</v>
      </c>
      <c r="G30" s="42">
        <v>1</v>
      </c>
      <c r="H30" s="47" t="s">
        <v>26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87"/>
      <c r="B31" s="36">
        <v>46193</v>
      </c>
      <c r="C31" s="37">
        <v>0.20833333333333334</v>
      </c>
      <c r="D31" s="38" t="s">
        <v>11</v>
      </c>
      <c r="E31" s="39" t="s">
        <v>27</v>
      </c>
      <c r="F31" s="42">
        <v>2</v>
      </c>
      <c r="G31" s="42">
        <v>0</v>
      </c>
      <c r="H31" s="47" t="s">
        <v>25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87"/>
      <c r="B32" s="36">
        <v>46199</v>
      </c>
      <c r="C32" s="37">
        <v>0.16666666666666666</v>
      </c>
      <c r="D32" s="38" t="s">
        <v>12</v>
      </c>
      <c r="E32" s="39" t="s">
        <v>27</v>
      </c>
      <c r="F32" s="42">
        <v>1</v>
      </c>
      <c r="G32" s="42">
        <v>1</v>
      </c>
      <c r="H32" s="47" t="s">
        <v>24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88"/>
      <c r="B33" s="43">
        <v>46199</v>
      </c>
      <c r="C33" s="44">
        <v>0.16666666666666666</v>
      </c>
      <c r="D33" s="45" t="s">
        <v>12</v>
      </c>
      <c r="E33" s="46" t="s">
        <v>25</v>
      </c>
      <c r="F33" s="42">
        <v>0</v>
      </c>
      <c r="G33" s="42">
        <v>1</v>
      </c>
      <c r="H33" s="47" t="s">
        <v>26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8"/>
      <c r="B34" s="49"/>
      <c r="C34" s="49"/>
      <c r="D34" s="49"/>
      <c r="E34" s="49"/>
      <c r="F34" s="49"/>
      <c r="G34" s="49"/>
      <c r="H34" s="50"/>
    </row>
    <row r="35" spans="1:10" ht="16.2" thickBot="1" x14ac:dyDescent="0.35">
      <c r="A35" s="51"/>
      <c r="B35" s="33" t="s">
        <v>1</v>
      </c>
      <c r="C35" s="33" t="s">
        <v>2</v>
      </c>
      <c r="D35" s="33" t="s">
        <v>3</v>
      </c>
      <c r="E35" s="34" t="s">
        <v>83</v>
      </c>
      <c r="F35" s="35" t="s">
        <v>4</v>
      </c>
      <c r="G35" s="35" t="s">
        <v>4</v>
      </c>
      <c r="H35" s="33" t="s">
        <v>84</v>
      </c>
    </row>
    <row r="36" spans="1:10" ht="16.2" thickBot="1" x14ac:dyDescent="0.35">
      <c r="A36" s="68" t="s">
        <v>28</v>
      </c>
      <c r="B36" s="36">
        <v>46187</v>
      </c>
      <c r="C36" s="37">
        <v>0.79166666666666663</v>
      </c>
      <c r="D36" s="38" t="s">
        <v>6</v>
      </c>
      <c r="E36" s="39" t="s">
        <v>29</v>
      </c>
      <c r="F36" s="52">
        <v>3</v>
      </c>
      <c r="G36" s="52">
        <v>0</v>
      </c>
      <c r="H36" s="47" t="s">
        <v>30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69"/>
      <c r="B37" s="36">
        <v>46188</v>
      </c>
      <c r="C37" s="37">
        <v>4.1666666666666664E-2</v>
      </c>
      <c r="D37" s="38" t="s">
        <v>6</v>
      </c>
      <c r="E37" s="39" t="s">
        <v>31</v>
      </c>
      <c r="F37" s="52">
        <v>2</v>
      </c>
      <c r="G37" s="52">
        <v>2</v>
      </c>
      <c r="H37" s="47" t="s">
        <v>32</v>
      </c>
      <c r="J37" s="1" t="str">
        <f>IF(OR(Resultados!F37="",Resultados!G37=""),"",IF(AND(F37=Resultados!F37,G37=Resultados!G37),2,IF(((F37&gt;G37)=(Resultados!F37&gt;Resultados!G37))*((F37&lt;G37)=(Resultados!F37&lt;Resultados!G37)),1,0)))</f>
        <v/>
      </c>
    </row>
    <row r="38" spans="1:10" ht="16.2" thickBot="1" x14ac:dyDescent="0.35">
      <c r="A38" s="69"/>
      <c r="B38" s="36">
        <v>46193</v>
      </c>
      <c r="C38" s="37">
        <v>0.91666666666666663</v>
      </c>
      <c r="D38" s="38" t="s">
        <v>11</v>
      </c>
      <c r="E38" s="39" t="s">
        <v>29</v>
      </c>
      <c r="F38" s="42">
        <v>3</v>
      </c>
      <c r="G38" s="42">
        <v>1</v>
      </c>
      <c r="H38" s="47" t="s">
        <v>31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69"/>
      <c r="B39" s="36">
        <v>46194</v>
      </c>
      <c r="C39" s="37">
        <v>8.3333333333333329E-2</v>
      </c>
      <c r="D39" s="38" t="s">
        <v>11</v>
      </c>
      <c r="E39" s="39" t="s">
        <v>32</v>
      </c>
      <c r="F39" s="42">
        <v>1</v>
      </c>
      <c r="G39" s="42">
        <v>1</v>
      </c>
      <c r="H39" s="47" t="s">
        <v>30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69"/>
      <c r="B40" s="36">
        <v>46198</v>
      </c>
      <c r="C40" s="37">
        <v>0.91666666666666663</v>
      </c>
      <c r="D40" s="38" t="s">
        <v>12</v>
      </c>
      <c r="E40" s="39" t="s">
        <v>30</v>
      </c>
      <c r="F40" s="42">
        <v>0</v>
      </c>
      <c r="G40" s="42">
        <v>0</v>
      </c>
      <c r="H40" s="47" t="s">
        <v>31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70"/>
      <c r="B41" s="43">
        <v>46198</v>
      </c>
      <c r="C41" s="44">
        <v>0.91666666666666663</v>
      </c>
      <c r="D41" s="45" t="s">
        <v>12</v>
      </c>
      <c r="E41" s="46" t="s">
        <v>32</v>
      </c>
      <c r="F41" s="42">
        <v>1</v>
      </c>
      <c r="G41" s="42">
        <v>2</v>
      </c>
      <c r="H41" s="47" t="s">
        <v>29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8"/>
      <c r="B42" s="49"/>
      <c r="C42" s="49"/>
      <c r="D42" s="49"/>
      <c r="E42" s="49"/>
      <c r="F42" s="49"/>
      <c r="G42" s="49"/>
      <c r="H42" s="50"/>
    </row>
    <row r="43" spans="1:10" ht="16.2" thickBot="1" x14ac:dyDescent="0.35">
      <c r="A43" s="51"/>
      <c r="B43" s="33" t="s">
        <v>1</v>
      </c>
      <c r="C43" s="33" t="s">
        <v>2</v>
      </c>
      <c r="D43" s="33" t="s">
        <v>3</v>
      </c>
      <c r="E43" s="34" t="s">
        <v>83</v>
      </c>
      <c r="F43" s="35" t="s">
        <v>4</v>
      </c>
      <c r="G43" s="35" t="s">
        <v>4</v>
      </c>
      <c r="H43" s="33" t="s">
        <v>84</v>
      </c>
    </row>
    <row r="44" spans="1:10" ht="16.2" thickBot="1" x14ac:dyDescent="0.35">
      <c r="A44" s="71" t="s">
        <v>33</v>
      </c>
      <c r="B44" s="36">
        <v>46187</v>
      </c>
      <c r="C44" s="37">
        <v>0.91666666666666663</v>
      </c>
      <c r="D44" s="38" t="s">
        <v>6</v>
      </c>
      <c r="E44" s="39" t="s">
        <v>34</v>
      </c>
      <c r="F44" s="52">
        <v>2</v>
      </c>
      <c r="G44" s="52">
        <v>1</v>
      </c>
      <c r="H44" s="47" t="s">
        <v>35</v>
      </c>
      <c r="J44" s="1" t="str">
        <f>IF(OR(Resultados!F44="",Resultados!G44=""),"",IF(AND(F44=Resultados!F44,G44=Resultados!G44),2,IF(((F44&gt;G44)=(Resultados!F44&gt;Resultados!G44))*((F44&lt;G44)=(Resultados!F44&lt;Resultados!G44)),1,0)))</f>
        <v/>
      </c>
    </row>
    <row r="45" spans="1:10" ht="16.2" thickBot="1" x14ac:dyDescent="0.35">
      <c r="A45" s="72"/>
      <c r="B45" s="36">
        <v>46188</v>
      </c>
      <c r="C45" s="37">
        <v>0.16666666666666666</v>
      </c>
      <c r="D45" s="38" t="s">
        <v>6</v>
      </c>
      <c r="E45" s="39" t="s">
        <v>36</v>
      </c>
      <c r="F45" s="52">
        <v>1</v>
      </c>
      <c r="G45" s="52">
        <v>1</v>
      </c>
      <c r="H45" s="47" t="s">
        <v>37</v>
      </c>
      <c r="J45" s="1" t="str">
        <f>IF(OR(Resultados!F45="",Resultados!G45=""),"",IF(AND(F45=Resultados!F45,G45=Resultados!G45),2,IF(((F45&gt;G45)=(Resultados!F45&gt;Resultados!G45))*((F45&lt;G45)=(Resultados!F45&lt;Resultados!G45)),1,0)))</f>
        <v/>
      </c>
    </row>
    <row r="46" spans="1:10" ht="16.2" thickBot="1" x14ac:dyDescent="0.35">
      <c r="A46" s="72"/>
      <c r="B46" s="36">
        <v>46193</v>
      </c>
      <c r="C46" s="37">
        <v>0.79166666666666663</v>
      </c>
      <c r="D46" s="38" t="s">
        <v>11</v>
      </c>
      <c r="E46" s="39" t="s">
        <v>34</v>
      </c>
      <c r="F46" s="42">
        <v>2</v>
      </c>
      <c r="G46" s="42">
        <v>0</v>
      </c>
      <c r="H46" s="47" t="s">
        <v>36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2"/>
      <c r="B47" s="36">
        <v>46194</v>
      </c>
      <c r="C47" s="37">
        <v>0.25</v>
      </c>
      <c r="D47" s="38" t="s">
        <v>11</v>
      </c>
      <c r="E47" s="39" t="s">
        <v>37</v>
      </c>
      <c r="F47" s="42">
        <v>1</v>
      </c>
      <c r="G47" s="42">
        <v>1</v>
      </c>
      <c r="H47" s="47" t="s">
        <v>35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2"/>
      <c r="B48" s="36">
        <v>46199</v>
      </c>
      <c r="C48" s="37">
        <v>4.1666666666666664E-2</v>
      </c>
      <c r="D48" s="38" t="s">
        <v>12</v>
      </c>
      <c r="E48" s="39" t="s">
        <v>35</v>
      </c>
      <c r="F48" s="42">
        <v>1</v>
      </c>
      <c r="G48" s="42">
        <v>1</v>
      </c>
      <c r="H48" s="47" t="s">
        <v>36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3"/>
      <c r="B49" s="43">
        <v>46199</v>
      </c>
      <c r="C49" s="44">
        <v>4.1666666666666664E-2</v>
      </c>
      <c r="D49" s="45" t="s">
        <v>12</v>
      </c>
      <c r="E49" s="46" t="s">
        <v>37</v>
      </c>
      <c r="F49" s="42">
        <v>0</v>
      </c>
      <c r="G49" s="42">
        <v>2</v>
      </c>
      <c r="H49" s="47" t="s">
        <v>34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8"/>
      <c r="B50" s="49"/>
      <c r="C50" s="49"/>
      <c r="D50" s="49"/>
      <c r="E50" s="49"/>
      <c r="F50" s="49"/>
      <c r="G50" s="49"/>
      <c r="H50" s="50"/>
    </row>
    <row r="51" spans="1:10" ht="16.2" thickBot="1" x14ac:dyDescent="0.35">
      <c r="A51" s="51"/>
      <c r="B51" s="33" t="s">
        <v>1</v>
      </c>
      <c r="C51" s="33" t="s">
        <v>2</v>
      </c>
      <c r="D51" s="33" t="s">
        <v>3</v>
      </c>
      <c r="E51" s="34" t="s">
        <v>83</v>
      </c>
      <c r="F51" s="35" t="s">
        <v>4</v>
      </c>
      <c r="G51" s="35" t="s">
        <v>4</v>
      </c>
      <c r="H51" s="33" t="s">
        <v>84</v>
      </c>
    </row>
    <row r="52" spans="1:10" ht="16.2" thickBot="1" x14ac:dyDescent="0.35">
      <c r="A52" s="74" t="s">
        <v>38</v>
      </c>
      <c r="B52" s="36">
        <v>46188</v>
      </c>
      <c r="C52" s="37">
        <v>0.875</v>
      </c>
      <c r="D52" s="38" t="s">
        <v>6</v>
      </c>
      <c r="E52" s="39" t="s">
        <v>39</v>
      </c>
      <c r="F52" s="52">
        <v>1</v>
      </c>
      <c r="G52" s="52">
        <v>1</v>
      </c>
      <c r="H52" s="47" t="s">
        <v>40</v>
      </c>
      <c r="J52" s="1" t="str">
        <f>IF(OR(Resultados!F52="",Resultados!G52=""),"",IF(AND(F52=Resultados!F52,G52=Resultados!G52),2,IF(((F52&gt;G52)=(Resultados!F52&gt;Resultados!G52))*((F52&lt;G52)=(Resultados!F52&lt;Resultados!G52)),1,0)))</f>
        <v/>
      </c>
    </row>
    <row r="53" spans="1:10" ht="16.2" thickBot="1" x14ac:dyDescent="0.35">
      <c r="A53" s="75"/>
      <c r="B53" s="36">
        <v>46189</v>
      </c>
      <c r="C53" s="37">
        <v>0.125</v>
      </c>
      <c r="D53" s="38" t="s">
        <v>6</v>
      </c>
      <c r="E53" s="39" t="s">
        <v>41</v>
      </c>
      <c r="F53" s="52">
        <v>0</v>
      </c>
      <c r="G53" s="52">
        <v>0</v>
      </c>
      <c r="H53" s="47" t="s">
        <v>42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75"/>
      <c r="B54" s="36">
        <v>46194</v>
      </c>
      <c r="C54" s="37">
        <v>0.875</v>
      </c>
      <c r="D54" s="38" t="s">
        <v>11</v>
      </c>
      <c r="E54" s="39" t="s">
        <v>39</v>
      </c>
      <c r="F54" s="42">
        <v>2</v>
      </c>
      <c r="G54" s="42">
        <v>1</v>
      </c>
      <c r="H54" s="47" t="s">
        <v>41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5"/>
      <c r="B55" s="36">
        <v>46195</v>
      </c>
      <c r="C55" s="37">
        <v>0.125</v>
      </c>
      <c r="D55" s="38" t="s">
        <v>11</v>
      </c>
      <c r="E55" s="39" t="s">
        <v>42</v>
      </c>
      <c r="F55" s="42">
        <v>0</v>
      </c>
      <c r="G55" s="42">
        <v>2</v>
      </c>
      <c r="H55" s="47" t="s">
        <v>40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5"/>
      <c r="B56" s="36">
        <v>46200</v>
      </c>
      <c r="C56" s="37">
        <v>0.20833333333333334</v>
      </c>
      <c r="D56" s="38" t="s">
        <v>12</v>
      </c>
      <c r="E56" s="39" t="s">
        <v>40</v>
      </c>
      <c r="F56" s="42">
        <v>1</v>
      </c>
      <c r="G56" s="42">
        <v>0</v>
      </c>
      <c r="H56" s="47" t="s">
        <v>41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6"/>
      <c r="B57" s="43">
        <v>46200</v>
      </c>
      <c r="C57" s="44">
        <v>0.20833333333333334</v>
      </c>
      <c r="D57" s="45" t="s">
        <v>12</v>
      </c>
      <c r="E57" s="46" t="s">
        <v>42</v>
      </c>
      <c r="F57" s="42">
        <v>1</v>
      </c>
      <c r="G57" s="42">
        <v>2</v>
      </c>
      <c r="H57" s="47" t="s">
        <v>39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8"/>
      <c r="B58" s="49"/>
      <c r="C58" s="49"/>
      <c r="D58" s="49"/>
      <c r="E58" s="49"/>
      <c r="F58" s="49"/>
      <c r="G58" s="49"/>
      <c r="H58" s="50"/>
    </row>
    <row r="59" spans="1:10" ht="16.2" thickBot="1" x14ac:dyDescent="0.35">
      <c r="A59" s="51"/>
      <c r="B59" s="33" t="s">
        <v>1</v>
      </c>
      <c r="C59" s="33" t="s">
        <v>2</v>
      </c>
      <c r="D59" s="33" t="s">
        <v>3</v>
      </c>
      <c r="E59" s="34" t="s">
        <v>83</v>
      </c>
      <c r="F59" s="35" t="s">
        <v>4</v>
      </c>
      <c r="G59" s="35" t="s">
        <v>4</v>
      </c>
      <c r="H59" s="33" t="s">
        <v>84</v>
      </c>
    </row>
    <row r="60" spans="1:10" ht="16.2" thickBot="1" x14ac:dyDescent="0.35">
      <c r="A60" s="77" t="s">
        <v>43</v>
      </c>
      <c r="B60" s="36">
        <v>46188</v>
      </c>
      <c r="C60" s="37">
        <v>0.75</v>
      </c>
      <c r="D60" s="38" t="s">
        <v>6</v>
      </c>
      <c r="E60" s="39" t="s">
        <v>44</v>
      </c>
      <c r="F60" s="52">
        <v>3</v>
      </c>
      <c r="G60" s="52">
        <v>0</v>
      </c>
      <c r="H60" s="47" t="s">
        <v>45</v>
      </c>
      <c r="J60" s="1" t="str">
        <f>IF(OR(Resultados!F60="",Resultados!G60=""),"",IF(AND(F60=Resultados!F60,G60=Resultados!G60),2,IF(((F60&gt;G60)=(Resultados!F60&gt;Resultados!G60))*((F60&lt;G60)=(Resultados!F60&lt;Resultados!G60)),1,0)))</f>
        <v/>
      </c>
    </row>
    <row r="61" spans="1:10" ht="16.2" thickBot="1" x14ac:dyDescent="0.35">
      <c r="A61" s="78"/>
      <c r="B61" s="36">
        <v>46189</v>
      </c>
      <c r="C61" s="37">
        <v>0</v>
      </c>
      <c r="D61" s="38" t="s">
        <v>6</v>
      </c>
      <c r="E61" s="39" t="s">
        <v>46</v>
      </c>
      <c r="F61" s="52">
        <v>1</v>
      </c>
      <c r="G61" s="52">
        <v>2</v>
      </c>
      <c r="H61" s="47" t="s">
        <v>47</v>
      </c>
      <c r="J61" s="1" t="str">
        <f>IF(OR(Resultados!F61="",Resultados!G61=""),"",IF(AND(F61=Resultados!F61,G61=Resultados!G61),2,IF(((F61&gt;G61)=(Resultados!F61&gt;Resultados!G61))*((F61&lt;G61)=(Resultados!F61&lt;Resultados!G61)),1,0)))</f>
        <v/>
      </c>
    </row>
    <row r="62" spans="1:10" ht="16.2" thickBot="1" x14ac:dyDescent="0.35">
      <c r="A62" s="78"/>
      <c r="B62" s="36">
        <v>46194</v>
      </c>
      <c r="C62" s="37">
        <v>0.75</v>
      </c>
      <c r="D62" s="38" t="s">
        <v>11</v>
      </c>
      <c r="E62" s="39" t="s">
        <v>44</v>
      </c>
      <c r="F62" s="42">
        <v>3</v>
      </c>
      <c r="G62" s="42">
        <v>1</v>
      </c>
      <c r="H62" s="47" t="s">
        <v>46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78"/>
      <c r="B63" s="36">
        <v>46195</v>
      </c>
      <c r="C63" s="37">
        <v>0</v>
      </c>
      <c r="D63" s="38" t="s">
        <v>11</v>
      </c>
      <c r="E63" s="39" t="s">
        <v>47</v>
      </c>
      <c r="F63" s="42">
        <v>2</v>
      </c>
      <c r="G63" s="42">
        <v>0</v>
      </c>
      <c r="H63" s="47" t="s">
        <v>45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78"/>
      <c r="B64" s="36">
        <v>46200</v>
      </c>
      <c r="C64" s="37">
        <v>8.3333333333333329E-2</v>
      </c>
      <c r="D64" s="38" t="s">
        <v>12</v>
      </c>
      <c r="E64" s="39" t="s">
        <v>45</v>
      </c>
      <c r="F64" s="42">
        <v>0</v>
      </c>
      <c r="G64" s="42">
        <v>0</v>
      </c>
      <c r="H64" s="47" t="s">
        <v>46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79"/>
      <c r="B65" s="43">
        <v>46200</v>
      </c>
      <c r="C65" s="44">
        <v>8.3333333333333329E-2</v>
      </c>
      <c r="D65" s="45" t="s">
        <v>12</v>
      </c>
      <c r="E65" s="46" t="s">
        <v>47</v>
      </c>
      <c r="F65" s="42">
        <v>2</v>
      </c>
      <c r="G65" s="42">
        <v>2</v>
      </c>
      <c r="H65" s="47" t="s">
        <v>44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8"/>
      <c r="B66" s="49"/>
      <c r="C66" s="49"/>
      <c r="D66" s="49"/>
      <c r="E66" s="49"/>
      <c r="F66" s="49"/>
      <c r="G66" s="49"/>
      <c r="H66" s="50"/>
    </row>
    <row r="67" spans="1:10" ht="16.2" thickBot="1" x14ac:dyDescent="0.35">
      <c r="A67" s="51"/>
      <c r="B67" s="33" t="s">
        <v>1</v>
      </c>
      <c r="C67" s="33" t="s">
        <v>2</v>
      </c>
      <c r="D67" s="33" t="s">
        <v>3</v>
      </c>
      <c r="E67" s="34" t="s">
        <v>83</v>
      </c>
      <c r="F67" s="35" t="s">
        <v>4</v>
      </c>
      <c r="G67" s="35" t="s">
        <v>4</v>
      </c>
      <c r="H67" s="33" t="s">
        <v>84</v>
      </c>
    </row>
    <row r="68" spans="1:10" ht="16.2" thickBot="1" x14ac:dyDescent="0.35">
      <c r="A68" s="80" t="s">
        <v>48</v>
      </c>
      <c r="B68" s="36">
        <v>46189</v>
      </c>
      <c r="C68" s="37">
        <v>0.875</v>
      </c>
      <c r="D68" s="38" t="s">
        <v>6</v>
      </c>
      <c r="E68" s="39" t="s">
        <v>49</v>
      </c>
      <c r="F68" s="52">
        <v>2</v>
      </c>
      <c r="G68" s="52">
        <v>1</v>
      </c>
      <c r="H68" s="47" t="s">
        <v>50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1"/>
      <c r="B69" s="36">
        <v>46190</v>
      </c>
      <c r="C69" s="37">
        <v>0</v>
      </c>
      <c r="D69" s="38" t="s">
        <v>6</v>
      </c>
      <c r="E69" s="39" t="s">
        <v>51</v>
      </c>
      <c r="F69" s="52">
        <v>0</v>
      </c>
      <c r="G69" s="52">
        <v>2</v>
      </c>
      <c r="H69" s="47" t="s">
        <v>52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1"/>
      <c r="B70" s="36">
        <v>46195</v>
      </c>
      <c r="C70" s="37">
        <v>0.95833333333333337</v>
      </c>
      <c r="D70" s="38" t="s">
        <v>11</v>
      </c>
      <c r="E70" s="39" t="s">
        <v>49</v>
      </c>
      <c r="F70" s="42">
        <v>2</v>
      </c>
      <c r="G70" s="42">
        <v>0</v>
      </c>
      <c r="H70" s="47" t="s">
        <v>51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1"/>
      <c r="B71" s="36">
        <v>46196</v>
      </c>
      <c r="C71" s="37">
        <v>8.3333333333333329E-2</v>
      </c>
      <c r="D71" s="38" t="s">
        <v>11</v>
      </c>
      <c r="E71" s="39" t="s">
        <v>52</v>
      </c>
      <c r="F71" s="42">
        <v>2</v>
      </c>
      <c r="G71" s="42">
        <v>1</v>
      </c>
      <c r="H71" s="47" t="s">
        <v>50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1"/>
      <c r="B72" s="36">
        <v>46199</v>
      </c>
      <c r="C72" s="37">
        <v>0.875</v>
      </c>
      <c r="D72" s="38" t="s">
        <v>12</v>
      </c>
      <c r="E72" s="39" t="s">
        <v>52</v>
      </c>
      <c r="F72" s="42">
        <v>3</v>
      </c>
      <c r="G72" s="42">
        <v>3</v>
      </c>
      <c r="H72" s="47" t="s">
        <v>49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2"/>
      <c r="B73" s="43">
        <v>46199</v>
      </c>
      <c r="C73" s="44">
        <v>0.875</v>
      </c>
      <c r="D73" s="45" t="s">
        <v>12</v>
      </c>
      <c r="E73" s="46" t="s">
        <v>50</v>
      </c>
      <c r="F73" s="42">
        <v>1</v>
      </c>
      <c r="G73" s="42">
        <v>1</v>
      </c>
      <c r="H73" s="47" t="s">
        <v>51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8"/>
      <c r="B74" s="49"/>
      <c r="C74" s="49"/>
      <c r="D74" s="49"/>
      <c r="E74" s="49"/>
      <c r="F74" s="49"/>
      <c r="G74" s="49"/>
      <c r="H74" s="50"/>
    </row>
    <row r="75" spans="1:10" ht="16.2" thickBot="1" x14ac:dyDescent="0.35">
      <c r="A75" s="51"/>
      <c r="B75" s="33" t="s">
        <v>1</v>
      </c>
      <c r="C75" s="33" t="s">
        <v>2</v>
      </c>
      <c r="D75" s="33" t="s">
        <v>3</v>
      </c>
      <c r="E75" s="34" t="s">
        <v>83</v>
      </c>
      <c r="F75" s="35" t="s">
        <v>4</v>
      </c>
      <c r="G75" s="35" t="s">
        <v>4</v>
      </c>
      <c r="H75" s="33" t="s">
        <v>84</v>
      </c>
    </row>
    <row r="76" spans="1:10" ht="16.2" thickBot="1" x14ac:dyDescent="0.35">
      <c r="A76" s="83" t="s">
        <v>53</v>
      </c>
      <c r="B76" s="36">
        <v>46190</v>
      </c>
      <c r="C76" s="37">
        <v>0.125</v>
      </c>
      <c r="D76" s="38" t="s">
        <v>6</v>
      </c>
      <c r="E76" s="39" t="s">
        <v>54</v>
      </c>
      <c r="F76" s="52">
        <v>2</v>
      </c>
      <c r="G76" s="52">
        <v>0</v>
      </c>
      <c r="H76" s="47" t="s">
        <v>55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84"/>
      <c r="B77" s="36">
        <v>46190</v>
      </c>
      <c r="C77" s="37">
        <v>0.25</v>
      </c>
      <c r="D77" s="38" t="s">
        <v>6</v>
      </c>
      <c r="E77" s="39" t="s">
        <v>56</v>
      </c>
      <c r="F77" s="52">
        <v>1</v>
      </c>
      <c r="G77" s="52">
        <v>0</v>
      </c>
      <c r="H77" s="47" t="s">
        <v>57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84"/>
      <c r="B78" s="36">
        <v>46195</v>
      </c>
      <c r="C78" s="37">
        <v>0.79166666666666663</v>
      </c>
      <c r="D78" s="38" t="s">
        <v>11</v>
      </c>
      <c r="E78" s="39" t="s">
        <v>54</v>
      </c>
      <c r="F78" s="42">
        <v>2</v>
      </c>
      <c r="G78" s="42">
        <v>1</v>
      </c>
      <c r="H78" s="47" t="s">
        <v>56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4"/>
      <c r="B79" s="36">
        <v>46196</v>
      </c>
      <c r="C79" s="37">
        <v>0.20833333333333334</v>
      </c>
      <c r="D79" s="38" t="s">
        <v>11</v>
      </c>
      <c r="E79" s="39" t="s">
        <v>57</v>
      </c>
      <c r="F79" s="42">
        <v>1</v>
      </c>
      <c r="G79" s="42">
        <v>1</v>
      </c>
      <c r="H79" s="47" t="s">
        <v>55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4"/>
      <c r="B80" s="36">
        <v>46201</v>
      </c>
      <c r="C80" s="37">
        <v>0.16666666666666666</v>
      </c>
      <c r="D80" s="38" t="s">
        <v>12</v>
      </c>
      <c r="E80" s="39" t="s">
        <v>55</v>
      </c>
      <c r="F80" s="42">
        <v>1</v>
      </c>
      <c r="G80" s="42">
        <v>2</v>
      </c>
      <c r="H80" s="47" t="s">
        <v>56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5"/>
      <c r="B81" s="43">
        <v>46201</v>
      </c>
      <c r="C81" s="44">
        <v>0.16666666666666666</v>
      </c>
      <c r="D81" s="45" t="s">
        <v>12</v>
      </c>
      <c r="E81" s="46" t="s">
        <v>57</v>
      </c>
      <c r="F81" s="42">
        <v>2</v>
      </c>
      <c r="G81" s="42">
        <v>3</v>
      </c>
      <c r="H81" s="47" t="s">
        <v>54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1"/>
      <c r="B83" s="33" t="s">
        <v>1</v>
      </c>
      <c r="C83" s="33" t="s">
        <v>2</v>
      </c>
      <c r="D83" s="33" t="s">
        <v>3</v>
      </c>
      <c r="E83" s="34" t="s">
        <v>83</v>
      </c>
      <c r="F83" s="35" t="s">
        <v>4</v>
      </c>
      <c r="G83" s="35" t="s">
        <v>4</v>
      </c>
      <c r="H83" s="33" t="s">
        <v>84</v>
      </c>
    </row>
    <row r="84" spans="1:10" ht="16.2" thickBot="1" x14ac:dyDescent="0.35">
      <c r="A84" s="62" t="s">
        <v>58</v>
      </c>
      <c r="B84" s="36">
        <v>46190</v>
      </c>
      <c r="C84" s="37">
        <v>0.79166666666666663</v>
      </c>
      <c r="D84" s="38" t="s">
        <v>6</v>
      </c>
      <c r="E84" s="39" t="s">
        <v>59</v>
      </c>
      <c r="F84" s="52">
        <v>3</v>
      </c>
      <c r="G84" s="52">
        <v>0</v>
      </c>
      <c r="H84" s="47" t="s">
        <v>60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63"/>
      <c r="B85" s="36">
        <v>46191</v>
      </c>
      <c r="C85" s="37">
        <v>0.16666666666666666</v>
      </c>
      <c r="D85" s="38" t="s">
        <v>6</v>
      </c>
      <c r="E85" s="39" t="s">
        <v>61</v>
      </c>
      <c r="F85" s="52">
        <v>0</v>
      </c>
      <c r="G85" s="52">
        <v>1</v>
      </c>
      <c r="H85" s="47" t="s">
        <v>62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63"/>
      <c r="B86" s="36">
        <v>46196</v>
      </c>
      <c r="C86" s="37">
        <v>0.79166666666666663</v>
      </c>
      <c r="D86" s="38" t="s">
        <v>11</v>
      </c>
      <c r="E86" s="39" t="s">
        <v>59</v>
      </c>
      <c r="F86" s="42">
        <v>2</v>
      </c>
      <c r="G86" s="42">
        <v>0</v>
      </c>
      <c r="H86" s="47" t="s">
        <v>61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63"/>
      <c r="B87" s="36">
        <v>46197</v>
      </c>
      <c r="C87" s="37">
        <v>0.16666666666666666</v>
      </c>
      <c r="D87" s="38" t="s">
        <v>11</v>
      </c>
      <c r="E87" s="39" t="s">
        <v>62</v>
      </c>
      <c r="F87" s="42">
        <v>1</v>
      </c>
      <c r="G87" s="42">
        <v>0</v>
      </c>
      <c r="H87" s="47" t="s">
        <v>60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63"/>
      <c r="B88" s="36">
        <v>46201</v>
      </c>
      <c r="C88" s="37">
        <v>6.25E-2</v>
      </c>
      <c r="D88" s="38" t="s">
        <v>12</v>
      </c>
      <c r="E88" s="39" t="s">
        <v>62</v>
      </c>
      <c r="F88" s="42">
        <v>2</v>
      </c>
      <c r="G88" s="42">
        <v>3</v>
      </c>
      <c r="H88" s="47" t="s">
        <v>59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64"/>
      <c r="B89" s="43">
        <v>46201</v>
      </c>
      <c r="C89" s="44">
        <v>6.25E-2</v>
      </c>
      <c r="D89" s="45" t="s">
        <v>12</v>
      </c>
      <c r="E89" s="46" t="s">
        <v>60</v>
      </c>
      <c r="F89" s="42">
        <v>1</v>
      </c>
      <c r="G89" s="42">
        <v>1</v>
      </c>
      <c r="H89" s="47" t="s">
        <v>61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8"/>
      <c r="B90" s="49"/>
      <c r="C90" s="49"/>
      <c r="D90" s="49"/>
      <c r="E90" s="49"/>
      <c r="F90" s="49"/>
      <c r="G90" s="49"/>
      <c r="H90" s="50"/>
    </row>
    <row r="91" spans="1:10" ht="16.2" thickBot="1" x14ac:dyDescent="0.35">
      <c r="A91" s="51"/>
      <c r="B91" s="33" t="s">
        <v>1</v>
      </c>
      <c r="C91" s="33" t="s">
        <v>2</v>
      </c>
      <c r="D91" s="33" t="s">
        <v>3</v>
      </c>
      <c r="E91" s="34" t="s">
        <v>83</v>
      </c>
      <c r="F91" s="35" t="s">
        <v>4</v>
      </c>
      <c r="G91" s="35" t="s">
        <v>4</v>
      </c>
      <c r="H91" s="33" t="s">
        <v>84</v>
      </c>
    </row>
    <row r="92" spans="1:10" ht="16.2" thickBot="1" x14ac:dyDescent="0.35">
      <c r="A92" s="65" t="s">
        <v>63</v>
      </c>
      <c r="B92" s="36">
        <v>46190</v>
      </c>
      <c r="C92" s="37">
        <v>0.91666666666666663</v>
      </c>
      <c r="D92" s="38" t="s">
        <v>6</v>
      </c>
      <c r="E92" s="39" t="s">
        <v>64</v>
      </c>
      <c r="F92" s="52">
        <v>2</v>
      </c>
      <c r="G92" s="52">
        <v>1</v>
      </c>
      <c r="H92" s="47" t="s">
        <v>65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66"/>
      <c r="B93" s="36">
        <v>46191</v>
      </c>
      <c r="C93" s="37">
        <v>4.1666666666666664E-2</v>
      </c>
      <c r="D93" s="38" t="s">
        <v>6</v>
      </c>
      <c r="E93" s="39" t="s">
        <v>66</v>
      </c>
      <c r="F93" s="52">
        <v>0</v>
      </c>
      <c r="G93" s="52">
        <v>1</v>
      </c>
      <c r="H93" s="47" t="s">
        <v>67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66"/>
      <c r="B94" s="36">
        <v>46196</v>
      </c>
      <c r="C94" s="37">
        <v>0.91666666666666663</v>
      </c>
      <c r="D94" s="38" t="s">
        <v>11</v>
      </c>
      <c r="E94" s="39" t="s">
        <v>64</v>
      </c>
      <c r="F94" s="42">
        <v>2</v>
      </c>
      <c r="G94" s="42">
        <v>0</v>
      </c>
      <c r="H94" s="47" t="s">
        <v>66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66"/>
      <c r="B95" s="36">
        <v>46197</v>
      </c>
      <c r="C95" s="37">
        <v>4.1666666666666664E-2</v>
      </c>
      <c r="D95" s="38" t="s">
        <v>11</v>
      </c>
      <c r="E95" s="39" t="s">
        <v>67</v>
      </c>
      <c r="F95" s="42">
        <v>1</v>
      </c>
      <c r="G95" s="42">
        <v>2</v>
      </c>
      <c r="H95" s="47" t="s">
        <v>65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66"/>
      <c r="B96" s="36">
        <v>46200</v>
      </c>
      <c r="C96" s="37">
        <v>0.95833333333333337</v>
      </c>
      <c r="D96" s="38" t="s">
        <v>12</v>
      </c>
      <c r="E96" s="39" t="s">
        <v>67</v>
      </c>
      <c r="F96" s="42">
        <v>2</v>
      </c>
      <c r="G96" s="42">
        <v>3</v>
      </c>
      <c r="H96" s="47" t="s">
        <v>64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67"/>
      <c r="B97" s="43">
        <v>46200</v>
      </c>
      <c r="C97" s="44">
        <v>0.95833333333333337</v>
      </c>
      <c r="D97" s="45" t="s">
        <v>12</v>
      </c>
      <c r="E97" s="46" t="s">
        <v>65</v>
      </c>
      <c r="F97" s="42">
        <v>2</v>
      </c>
      <c r="G97" s="42">
        <v>0</v>
      </c>
      <c r="H97" s="47" t="s">
        <v>66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  <row r="98" spans="1:10" x14ac:dyDescent="0.3">
      <c r="A98" s="60"/>
      <c r="B98" s="60"/>
      <c r="C98" s="60"/>
      <c r="D98" s="60"/>
      <c r="E98" s="61"/>
      <c r="F98" s="61"/>
      <c r="G98" s="61"/>
      <c r="H98" s="60"/>
    </row>
    <row r="99" spans="1:10" x14ac:dyDescent="0.3">
      <c r="A99" s="60"/>
      <c r="B99" s="60"/>
      <c r="C99" s="60"/>
      <c r="D99" s="60"/>
      <c r="E99" s="61"/>
      <c r="F99" s="61"/>
      <c r="G99" s="61"/>
      <c r="H99" s="60"/>
    </row>
    <row r="100" spans="1:10" x14ac:dyDescent="0.3">
      <c r="A100" s="60"/>
      <c r="B100" s="60"/>
      <c r="C100" s="60"/>
      <c r="D100" s="60"/>
      <c r="E100" s="61"/>
      <c r="F100" s="61"/>
      <c r="G100" s="61"/>
      <c r="H100" s="60"/>
    </row>
    <row r="101" spans="1:10" x14ac:dyDescent="0.3">
      <c r="A101" s="60"/>
      <c r="B101" s="60"/>
      <c r="C101" s="60"/>
      <c r="D101" s="60"/>
      <c r="E101" s="61"/>
      <c r="F101" s="61"/>
      <c r="G101" s="61"/>
      <c r="H101" s="60"/>
    </row>
    <row r="102" spans="1:10" x14ac:dyDescent="0.3">
      <c r="A102" s="60"/>
      <c r="B102" s="60"/>
      <c r="C102" s="60"/>
      <c r="D102" s="60"/>
      <c r="E102" s="61"/>
      <c r="F102" s="61"/>
      <c r="G102" s="61"/>
      <c r="H102" s="60"/>
    </row>
    <row r="103" spans="1:10" x14ac:dyDescent="0.3">
      <c r="A103" s="60"/>
      <c r="B103" s="60"/>
      <c r="C103" s="60"/>
      <c r="D103" s="60"/>
      <c r="E103" s="61"/>
      <c r="F103" s="61"/>
      <c r="G103" s="61"/>
      <c r="H103" s="60"/>
    </row>
    <row r="104" spans="1:10" x14ac:dyDescent="0.3">
      <c r="A104" s="60"/>
      <c r="B104" s="60"/>
      <c r="C104" s="60"/>
      <c r="D104" s="60"/>
      <c r="E104" s="61"/>
      <c r="F104" s="61"/>
      <c r="G104" s="61"/>
      <c r="H104" s="60"/>
    </row>
    <row r="105" spans="1:10" x14ac:dyDescent="0.3">
      <c r="A105" s="60"/>
      <c r="B105" s="60"/>
      <c r="C105" s="60"/>
      <c r="D105" s="60"/>
      <c r="E105" s="61"/>
      <c r="F105" s="61"/>
      <c r="G105" s="61"/>
      <c r="H105" s="60"/>
    </row>
    <row r="106" spans="1:10" x14ac:dyDescent="0.3">
      <c r="A106" s="60"/>
      <c r="B106" s="60"/>
      <c r="C106" s="60"/>
      <c r="D106" s="60"/>
      <c r="E106" s="61"/>
      <c r="F106" s="61"/>
      <c r="G106" s="61"/>
      <c r="H106" s="60"/>
    </row>
    <row r="107" spans="1:10" x14ac:dyDescent="0.3">
      <c r="A107" s="60"/>
      <c r="B107" s="60"/>
      <c r="C107" s="60"/>
      <c r="D107" s="60"/>
      <c r="E107" s="61"/>
      <c r="F107" s="61"/>
      <c r="G107" s="61"/>
      <c r="H107" s="60"/>
    </row>
    <row r="108" spans="1:10" x14ac:dyDescent="0.3">
      <c r="A108" s="60"/>
      <c r="B108" s="60"/>
      <c r="C108" s="60"/>
      <c r="D108" s="60"/>
      <c r="E108" s="61"/>
      <c r="F108" s="61"/>
      <c r="G108" s="61"/>
      <c r="H108" s="60"/>
    </row>
    <row r="109" spans="1:10" x14ac:dyDescent="0.3">
      <c r="A109" s="60"/>
      <c r="B109" s="60"/>
      <c r="C109" s="60"/>
      <c r="D109" s="60"/>
      <c r="E109" s="61"/>
      <c r="F109" s="61"/>
      <c r="G109" s="61"/>
      <c r="H109" s="60"/>
    </row>
    <row r="110" spans="1:10" x14ac:dyDescent="0.3">
      <c r="A110" s="60"/>
      <c r="B110" s="60"/>
      <c r="C110" s="60"/>
      <c r="D110" s="60"/>
      <c r="E110" s="61"/>
      <c r="F110" s="61"/>
      <c r="G110" s="61"/>
      <c r="H110" s="60"/>
    </row>
    <row r="111" spans="1:10" x14ac:dyDescent="0.3">
      <c r="A111" s="60"/>
      <c r="B111" s="60"/>
      <c r="C111" s="60"/>
      <c r="D111" s="60"/>
      <c r="E111" s="61"/>
      <c r="F111" s="61"/>
      <c r="G111" s="61"/>
      <c r="H111" s="60"/>
    </row>
    <row r="112" spans="1:10" x14ac:dyDescent="0.3">
      <c r="A112" s="60"/>
      <c r="B112" s="60"/>
      <c r="C112" s="60"/>
      <c r="D112" s="60"/>
      <c r="E112" s="61"/>
      <c r="F112" s="61"/>
      <c r="G112" s="61"/>
      <c r="H112" s="60"/>
    </row>
    <row r="113" spans="1:8" x14ac:dyDescent="0.3">
      <c r="A113" s="60"/>
      <c r="B113" s="60"/>
      <c r="C113" s="60"/>
      <c r="D113" s="60"/>
      <c r="E113" s="61"/>
      <c r="F113" s="61"/>
      <c r="G113" s="61"/>
      <c r="H113" s="60"/>
    </row>
    <row r="114" spans="1:8" x14ac:dyDescent="0.3">
      <c r="A114" s="60"/>
      <c r="B114" s="60"/>
      <c r="C114" s="60"/>
      <c r="D114" s="60"/>
      <c r="E114" s="61"/>
      <c r="F114" s="61"/>
      <c r="G114" s="61"/>
      <c r="H114" s="60"/>
    </row>
    <row r="115" spans="1:8" x14ac:dyDescent="0.3">
      <c r="A115" s="60"/>
      <c r="B115" s="60"/>
      <c r="C115" s="60"/>
      <c r="D115" s="60"/>
      <c r="E115" s="61"/>
      <c r="F115" s="61"/>
      <c r="G115" s="61"/>
      <c r="H115" s="60"/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</cp:lastModifiedBy>
  <cp:lastPrinted>2026-06-14T01:53:30Z</cp:lastPrinted>
  <dcterms:created xsi:type="dcterms:W3CDTF">2026-06-14T01:28:55Z</dcterms:created>
  <dcterms:modified xsi:type="dcterms:W3CDTF">2026-06-14T19:02:31Z</dcterms:modified>
</cp:coreProperties>
</file>