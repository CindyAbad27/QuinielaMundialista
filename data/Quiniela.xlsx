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ndy\Desktop\QuinielaMundial\data\"/>
    </mc:Choice>
  </mc:AlternateContent>
  <xr:revisionPtr revIDLastSave="0" documentId="13_ncr:1_{A71E58F9-9220-42D0-8A71-CF91CB60962C}" xr6:coauthVersionLast="47" xr6:coauthVersionMax="47" xr10:uidLastSave="{00000000-0000-0000-0000-000000000000}"/>
  <bookViews>
    <workbookView xWindow="-108" yWindow="-108" windowWidth="23256" windowHeight="13896" activeTab="1" xr2:uid="{9503E40F-C0E1-49CE-B4EA-3C401754995E}"/>
  </bookViews>
  <sheets>
    <sheet name="Resultados" sheetId="1" r:id="rId1"/>
    <sheet name="Ranking" sheetId="11" r:id="rId2"/>
    <sheet name="Cindy" sheetId="2" r:id="rId3"/>
    <sheet name="Wendy" sheetId="3" r:id="rId4"/>
    <sheet name="Packy" sheetId="4" r:id="rId5"/>
    <sheet name="Jimmy" sheetId="5" r:id="rId6"/>
    <sheet name="Bere" sheetId="6" r:id="rId7"/>
    <sheet name="Erick" sheetId="8" r:id="rId8"/>
    <sheet name="Erik" sheetId="7" r:id="rId9"/>
    <sheet name="Lennon" sheetId="9" r:id="rId10"/>
    <sheet name="Yulian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" i="8" l="1"/>
  <c r="J97" i="6"/>
  <c r="J96" i="6"/>
  <c r="J95" i="6"/>
  <c r="J94" i="6"/>
  <c r="J93" i="6"/>
  <c r="J92" i="6"/>
  <c r="J89" i="6"/>
  <c r="J88" i="6"/>
  <c r="J87" i="6"/>
  <c r="J86" i="6"/>
  <c r="J85" i="6"/>
  <c r="J84" i="6"/>
  <c r="J81" i="6"/>
  <c r="J80" i="6"/>
  <c r="J79" i="6"/>
  <c r="J78" i="6"/>
  <c r="J77" i="6"/>
  <c r="J76" i="6"/>
  <c r="J73" i="6"/>
  <c r="J72" i="6"/>
  <c r="J71" i="6"/>
  <c r="J70" i="6"/>
  <c r="J69" i="6"/>
  <c r="J68" i="6"/>
  <c r="J65" i="6"/>
  <c r="J64" i="6"/>
  <c r="J63" i="6"/>
  <c r="J62" i="6"/>
  <c r="J61" i="6"/>
  <c r="J60" i="6"/>
  <c r="J57" i="6"/>
  <c r="J56" i="6"/>
  <c r="J55" i="6"/>
  <c r="J54" i="6"/>
  <c r="J53" i="6"/>
  <c r="J52" i="6"/>
  <c r="J49" i="6"/>
  <c r="J48" i="6"/>
  <c r="J47" i="6"/>
  <c r="J46" i="6"/>
  <c r="J45" i="6"/>
  <c r="J44" i="6"/>
  <c r="J41" i="6"/>
  <c r="J40" i="6"/>
  <c r="J39" i="6"/>
  <c r="J38" i="6"/>
  <c r="J37" i="6"/>
  <c r="J36" i="6"/>
  <c r="J33" i="6"/>
  <c r="J32" i="6"/>
  <c r="J31" i="6"/>
  <c r="J30" i="6"/>
  <c r="J29" i="6"/>
  <c r="J25" i="6"/>
  <c r="J24" i="6"/>
  <c r="J23" i="6"/>
  <c r="J22" i="6"/>
  <c r="J21" i="6"/>
  <c r="J17" i="6"/>
  <c r="J16" i="6"/>
  <c r="J15" i="6"/>
  <c r="J14" i="6"/>
  <c r="J9" i="6"/>
  <c r="J8" i="6"/>
  <c r="J7" i="6"/>
  <c r="J6" i="6"/>
  <c r="J97" i="10"/>
  <c r="J96" i="10"/>
  <c r="J95" i="10"/>
  <c r="J94" i="10"/>
  <c r="J93" i="10"/>
  <c r="J92" i="10"/>
  <c r="J89" i="10"/>
  <c r="J88" i="10"/>
  <c r="J87" i="10"/>
  <c r="J86" i="10"/>
  <c r="J85" i="10"/>
  <c r="J84" i="10"/>
  <c r="J81" i="10"/>
  <c r="J80" i="10"/>
  <c r="J79" i="10"/>
  <c r="J78" i="10"/>
  <c r="J77" i="10"/>
  <c r="J76" i="10"/>
  <c r="J73" i="10"/>
  <c r="J72" i="10"/>
  <c r="J71" i="10"/>
  <c r="J70" i="10"/>
  <c r="J69" i="10"/>
  <c r="J68" i="10"/>
  <c r="J65" i="10"/>
  <c r="J64" i="10"/>
  <c r="J63" i="10"/>
  <c r="J62" i="10"/>
  <c r="J61" i="10"/>
  <c r="J60" i="10"/>
  <c r="J57" i="10"/>
  <c r="J56" i="10"/>
  <c r="J55" i="10"/>
  <c r="J54" i="10"/>
  <c r="J53" i="10"/>
  <c r="J52" i="10"/>
  <c r="J49" i="10"/>
  <c r="J48" i="10"/>
  <c r="J47" i="10"/>
  <c r="J46" i="10"/>
  <c r="J45" i="10"/>
  <c r="J44" i="10"/>
  <c r="J41" i="10"/>
  <c r="J40" i="10"/>
  <c r="J39" i="10"/>
  <c r="J38" i="10"/>
  <c r="J37" i="10"/>
  <c r="J36" i="10"/>
  <c r="J33" i="10"/>
  <c r="J32" i="10"/>
  <c r="J31" i="10"/>
  <c r="J30" i="10"/>
  <c r="J29" i="10"/>
  <c r="J25" i="10"/>
  <c r="J24" i="10"/>
  <c r="J23" i="10"/>
  <c r="J22" i="10"/>
  <c r="J21" i="10"/>
  <c r="J17" i="10"/>
  <c r="J16" i="10"/>
  <c r="J15" i="10"/>
  <c r="J14" i="10"/>
  <c r="J9" i="10"/>
  <c r="J8" i="10"/>
  <c r="J7" i="10"/>
  <c r="J6" i="10"/>
  <c r="J97" i="9"/>
  <c r="J96" i="9"/>
  <c r="J95" i="9"/>
  <c r="J94" i="9"/>
  <c r="J93" i="9"/>
  <c r="J92" i="9"/>
  <c r="J89" i="9"/>
  <c r="J88" i="9"/>
  <c r="J87" i="9"/>
  <c r="J86" i="9"/>
  <c r="J85" i="9"/>
  <c r="J84" i="9"/>
  <c r="J81" i="9"/>
  <c r="J80" i="9"/>
  <c r="J79" i="9"/>
  <c r="J78" i="9"/>
  <c r="J77" i="9"/>
  <c r="J76" i="9"/>
  <c r="J73" i="9"/>
  <c r="J72" i="9"/>
  <c r="J71" i="9"/>
  <c r="J70" i="9"/>
  <c r="J69" i="9"/>
  <c r="J68" i="9"/>
  <c r="J65" i="9"/>
  <c r="J64" i="9"/>
  <c r="J63" i="9"/>
  <c r="J62" i="9"/>
  <c r="J61" i="9"/>
  <c r="J60" i="9"/>
  <c r="J57" i="9"/>
  <c r="J56" i="9"/>
  <c r="J55" i="9"/>
  <c r="J54" i="9"/>
  <c r="J53" i="9"/>
  <c r="J52" i="9"/>
  <c r="J49" i="9"/>
  <c r="J48" i="9"/>
  <c r="J47" i="9"/>
  <c r="J46" i="9"/>
  <c r="J45" i="9"/>
  <c r="J44" i="9"/>
  <c r="J41" i="9"/>
  <c r="J40" i="9"/>
  <c r="J39" i="9"/>
  <c r="J38" i="9"/>
  <c r="J37" i="9"/>
  <c r="J36" i="9"/>
  <c r="J33" i="9"/>
  <c r="J32" i="9"/>
  <c r="J31" i="9"/>
  <c r="J30" i="9"/>
  <c r="J29" i="9"/>
  <c r="J25" i="9"/>
  <c r="J24" i="9"/>
  <c r="J23" i="9"/>
  <c r="J22" i="9"/>
  <c r="J21" i="9"/>
  <c r="J17" i="9"/>
  <c r="J16" i="9"/>
  <c r="J15" i="9"/>
  <c r="J14" i="9"/>
  <c r="J9" i="9"/>
  <c r="J8" i="9"/>
  <c r="J7" i="9"/>
  <c r="J6" i="9"/>
  <c r="J97" i="7"/>
  <c r="J96" i="7"/>
  <c r="J95" i="7"/>
  <c r="J94" i="7"/>
  <c r="J93" i="7"/>
  <c r="J92" i="7"/>
  <c r="J89" i="7"/>
  <c r="J88" i="7"/>
  <c r="J87" i="7"/>
  <c r="J86" i="7"/>
  <c r="J85" i="7"/>
  <c r="J84" i="7"/>
  <c r="J81" i="7"/>
  <c r="J80" i="7"/>
  <c r="J79" i="7"/>
  <c r="J78" i="7"/>
  <c r="J77" i="7"/>
  <c r="J76" i="7"/>
  <c r="J73" i="7"/>
  <c r="J72" i="7"/>
  <c r="J71" i="7"/>
  <c r="J70" i="7"/>
  <c r="J69" i="7"/>
  <c r="J68" i="7"/>
  <c r="J65" i="7"/>
  <c r="J64" i="7"/>
  <c r="J63" i="7"/>
  <c r="J62" i="7"/>
  <c r="J61" i="7"/>
  <c r="J60" i="7"/>
  <c r="J57" i="7"/>
  <c r="J56" i="7"/>
  <c r="J55" i="7"/>
  <c r="J54" i="7"/>
  <c r="J53" i="7"/>
  <c r="J52" i="7"/>
  <c r="J49" i="7"/>
  <c r="J48" i="7"/>
  <c r="J47" i="7"/>
  <c r="J46" i="7"/>
  <c r="J45" i="7"/>
  <c r="J44" i="7"/>
  <c r="J41" i="7"/>
  <c r="J40" i="7"/>
  <c r="J39" i="7"/>
  <c r="J38" i="7"/>
  <c r="J37" i="7"/>
  <c r="J36" i="7"/>
  <c r="J33" i="7"/>
  <c r="J32" i="7"/>
  <c r="J31" i="7"/>
  <c r="J30" i="7"/>
  <c r="J29" i="7"/>
  <c r="J25" i="7"/>
  <c r="J24" i="7"/>
  <c r="J23" i="7"/>
  <c r="J22" i="7"/>
  <c r="J21" i="7"/>
  <c r="J17" i="7"/>
  <c r="J16" i="7"/>
  <c r="J15" i="7"/>
  <c r="J14" i="7"/>
  <c r="J9" i="7"/>
  <c r="J8" i="7"/>
  <c r="J7" i="7"/>
  <c r="J6" i="7"/>
  <c r="J97" i="8"/>
  <c r="J96" i="8"/>
  <c r="J95" i="8"/>
  <c r="J94" i="8"/>
  <c r="J93" i="8"/>
  <c r="J92" i="8"/>
  <c r="J89" i="8"/>
  <c r="J88" i="8"/>
  <c r="J87" i="8"/>
  <c r="J86" i="8"/>
  <c r="J85" i="8"/>
  <c r="J84" i="8"/>
  <c r="J81" i="8"/>
  <c r="J80" i="8"/>
  <c r="J79" i="8"/>
  <c r="J78" i="8"/>
  <c r="J77" i="8"/>
  <c r="J76" i="8"/>
  <c r="J73" i="8"/>
  <c r="J72" i="8"/>
  <c r="J71" i="8"/>
  <c r="J70" i="8"/>
  <c r="J69" i="8"/>
  <c r="J68" i="8"/>
  <c r="J65" i="8"/>
  <c r="J64" i="8"/>
  <c r="J63" i="8"/>
  <c r="J62" i="8"/>
  <c r="J61" i="8"/>
  <c r="J60" i="8"/>
  <c r="J57" i="8"/>
  <c r="J56" i="8"/>
  <c r="J55" i="8"/>
  <c r="J54" i="8"/>
  <c r="J53" i="8"/>
  <c r="J52" i="8"/>
  <c r="J49" i="8"/>
  <c r="J48" i="8"/>
  <c r="J47" i="8"/>
  <c r="J46" i="8"/>
  <c r="J45" i="8"/>
  <c r="J44" i="8"/>
  <c r="J41" i="8"/>
  <c r="J40" i="8"/>
  <c r="J39" i="8"/>
  <c r="J38" i="8"/>
  <c r="J37" i="8"/>
  <c r="J36" i="8"/>
  <c r="J33" i="8"/>
  <c r="J32" i="8"/>
  <c r="J31" i="8"/>
  <c r="J30" i="8"/>
  <c r="J29" i="8"/>
  <c r="J25" i="8"/>
  <c r="J24" i="8"/>
  <c r="J23" i="8"/>
  <c r="J22" i="8"/>
  <c r="J21" i="8"/>
  <c r="J17" i="8"/>
  <c r="J16" i="8"/>
  <c r="J15" i="8"/>
  <c r="J14" i="8"/>
  <c r="J9" i="8"/>
  <c r="J8" i="8"/>
  <c r="J7" i="8"/>
  <c r="J97" i="5"/>
  <c r="J96" i="5"/>
  <c r="J95" i="5"/>
  <c r="J94" i="5"/>
  <c r="J93" i="5"/>
  <c r="J92" i="5"/>
  <c r="J89" i="5"/>
  <c r="J88" i="5"/>
  <c r="J87" i="5"/>
  <c r="J86" i="5"/>
  <c r="J85" i="5"/>
  <c r="J84" i="5"/>
  <c r="J81" i="5"/>
  <c r="J80" i="5"/>
  <c r="J79" i="5"/>
  <c r="J78" i="5"/>
  <c r="J77" i="5"/>
  <c r="J76" i="5"/>
  <c r="J73" i="5"/>
  <c r="J72" i="5"/>
  <c r="J71" i="5"/>
  <c r="J70" i="5"/>
  <c r="J69" i="5"/>
  <c r="J68" i="5"/>
  <c r="J65" i="5"/>
  <c r="J64" i="5"/>
  <c r="J63" i="5"/>
  <c r="J62" i="5"/>
  <c r="J61" i="5"/>
  <c r="J60" i="5"/>
  <c r="J57" i="5"/>
  <c r="J56" i="5"/>
  <c r="J55" i="5"/>
  <c r="J54" i="5"/>
  <c r="J53" i="5"/>
  <c r="J52" i="5"/>
  <c r="J49" i="5"/>
  <c r="J48" i="5"/>
  <c r="J47" i="5"/>
  <c r="J46" i="5"/>
  <c r="J45" i="5"/>
  <c r="J44" i="5"/>
  <c r="J41" i="5"/>
  <c r="J40" i="5"/>
  <c r="J39" i="5"/>
  <c r="J38" i="5"/>
  <c r="J37" i="5"/>
  <c r="J36" i="5"/>
  <c r="J33" i="5"/>
  <c r="J32" i="5"/>
  <c r="J31" i="5"/>
  <c r="J30" i="5"/>
  <c r="J29" i="5"/>
  <c r="J25" i="5"/>
  <c r="J24" i="5"/>
  <c r="J23" i="5"/>
  <c r="J22" i="5"/>
  <c r="J21" i="5"/>
  <c r="J17" i="5"/>
  <c r="J16" i="5"/>
  <c r="J15" i="5"/>
  <c r="J14" i="5"/>
  <c r="J9" i="5"/>
  <c r="J8" i="5"/>
  <c r="J7" i="5"/>
  <c r="J6" i="5"/>
  <c r="J97" i="4"/>
  <c r="J96" i="4"/>
  <c r="J95" i="4"/>
  <c r="J94" i="4"/>
  <c r="J93" i="4"/>
  <c r="J92" i="4"/>
  <c r="J89" i="4"/>
  <c r="J88" i="4"/>
  <c r="J87" i="4"/>
  <c r="J86" i="4"/>
  <c r="J85" i="4"/>
  <c r="J84" i="4"/>
  <c r="J81" i="4"/>
  <c r="J80" i="4"/>
  <c r="J79" i="4"/>
  <c r="J78" i="4"/>
  <c r="J77" i="4"/>
  <c r="J76" i="4"/>
  <c r="J73" i="4"/>
  <c r="J72" i="4"/>
  <c r="J71" i="4"/>
  <c r="J70" i="4"/>
  <c r="J69" i="4"/>
  <c r="J68" i="4"/>
  <c r="J65" i="4"/>
  <c r="J64" i="4"/>
  <c r="J63" i="4"/>
  <c r="J62" i="4"/>
  <c r="J61" i="4"/>
  <c r="J60" i="4"/>
  <c r="J57" i="4"/>
  <c r="J56" i="4"/>
  <c r="J55" i="4"/>
  <c r="J54" i="4"/>
  <c r="J53" i="4"/>
  <c r="J52" i="4"/>
  <c r="J49" i="4"/>
  <c r="J48" i="4"/>
  <c r="J47" i="4"/>
  <c r="J46" i="4"/>
  <c r="J45" i="4"/>
  <c r="J44" i="4"/>
  <c r="J41" i="4"/>
  <c r="J40" i="4"/>
  <c r="J39" i="4"/>
  <c r="J38" i="4"/>
  <c r="J37" i="4"/>
  <c r="J36" i="4"/>
  <c r="J33" i="4"/>
  <c r="J32" i="4"/>
  <c r="J31" i="4"/>
  <c r="J30" i="4"/>
  <c r="J29" i="4"/>
  <c r="J25" i="4"/>
  <c r="J24" i="4"/>
  <c r="J23" i="4"/>
  <c r="J22" i="4"/>
  <c r="J21" i="4"/>
  <c r="J17" i="4"/>
  <c r="J16" i="4"/>
  <c r="J15" i="4"/>
  <c r="J14" i="4"/>
  <c r="J9" i="4"/>
  <c r="J8" i="4"/>
  <c r="J7" i="4"/>
  <c r="J6" i="4"/>
  <c r="J97" i="3"/>
  <c r="J96" i="3"/>
  <c r="J95" i="3"/>
  <c r="J94" i="3"/>
  <c r="J93" i="3"/>
  <c r="J92" i="3"/>
  <c r="J89" i="3"/>
  <c r="J88" i="3"/>
  <c r="J87" i="3"/>
  <c r="J86" i="3"/>
  <c r="J85" i="3"/>
  <c r="J84" i="3"/>
  <c r="J81" i="3"/>
  <c r="J80" i="3"/>
  <c r="J79" i="3"/>
  <c r="J78" i="3"/>
  <c r="J77" i="3"/>
  <c r="J76" i="3"/>
  <c r="J73" i="3"/>
  <c r="J72" i="3"/>
  <c r="J71" i="3"/>
  <c r="J70" i="3"/>
  <c r="J69" i="3"/>
  <c r="J68" i="3"/>
  <c r="J65" i="3"/>
  <c r="J64" i="3"/>
  <c r="J63" i="3"/>
  <c r="J62" i="3"/>
  <c r="J61" i="3"/>
  <c r="J60" i="3"/>
  <c r="J57" i="3"/>
  <c r="J56" i="3"/>
  <c r="J55" i="3"/>
  <c r="J54" i="3"/>
  <c r="J53" i="3"/>
  <c r="J52" i="3"/>
  <c r="J49" i="3"/>
  <c r="J48" i="3"/>
  <c r="J47" i="3"/>
  <c r="J46" i="3"/>
  <c r="J45" i="3"/>
  <c r="J44" i="3"/>
  <c r="J41" i="3"/>
  <c r="J40" i="3"/>
  <c r="J39" i="3"/>
  <c r="J38" i="3"/>
  <c r="J37" i="3"/>
  <c r="J36" i="3"/>
  <c r="J33" i="3"/>
  <c r="J32" i="3"/>
  <c r="J31" i="3"/>
  <c r="J30" i="3"/>
  <c r="J29" i="3"/>
  <c r="J25" i="3"/>
  <c r="J24" i="3"/>
  <c r="J23" i="3"/>
  <c r="J22" i="3"/>
  <c r="J21" i="3"/>
  <c r="J17" i="3"/>
  <c r="J16" i="3"/>
  <c r="J15" i="3"/>
  <c r="J14" i="3"/>
  <c r="J9" i="3"/>
  <c r="J8" i="3"/>
  <c r="J7" i="3"/>
  <c r="J6" i="3"/>
  <c r="J93" i="2"/>
  <c r="J94" i="2"/>
  <c r="J95" i="2"/>
  <c r="J96" i="2"/>
  <c r="J97" i="2"/>
  <c r="J92" i="2"/>
  <c r="J85" i="2"/>
  <c r="J86" i="2"/>
  <c r="J87" i="2"/>
  <c r="J88" i="2"/>
  <c r="J89" i="2"/>
  <c r="J84" i="2"/>
  <c r="J77" i="2"/>
  <c r="J78" i="2"/>
  <c r="J79" i="2"/>
  <c r="J80" i="2"/>
  <c r="J81" i="2"/>
  <c r="J76" i="2"/>
  <c r="J69" i="2"/>
  <c r="J70" i="2"/>
  <c r="J71" i="2"/>
  <c r="J72" i="2"/>
  <c r="J73" i="2"/>
  <c r="J68" i="2"/>
  <c r="J61" i="2"/>
  <c r="J62" i="2"/>
  <c r="J63" i="2"/>
  <c r="J64" i="2"/>
  <c r="J65" i="2"/>
  <c r="J60" i="2"/>
  <c r="J53" i="2"/>
  <c r="J54" i="2"/>
  <c r="J55" i="2"/>
  <c r="J56" i="2"/>
  <c r="J57" i="2"/>
  <c r="J52" i="2"/>
  <c r="J45" i="2"/>
  <c r="J46" i="2"/>
  <c r="J47" i="2"/>
  <c r="J48" i="2"/>
  <c r="J49" i="2"/>
  <c r="J44" i="2"/>
  <c r="J37" i="2"/>
  <c r="J38" i="2"/>
  <c r="J39" i="2"/>
  <c r="J40" i="2"/>
  <c r="J41" i="2"/>
  <c r="J36" i="2"/>
  <c r="J29" i="2"/>
  <c r="J30" i="2"/>
  <c r="J31" i="2"/>
  <c r="J32" i="2"/>
  <c r="J33" i="2"/>
  <c r="J21" i="2"/>
  <c r="J22" i="2"/>
  <c r="J23" i="2"/>
  <c r="J24" i="2"/>
  <c r="J25" i="2"/>
  <c r="J14" i="2"/>
  <c r="J15" i="2"/>
  <c r="J16" i="2"/>
  <c r="J17" i="2"/>
  <c r="J6" i="2"/>
  <c r="J7" i="2"/>
  <c r="J8" i="2"/>
  <c r="J9" i="2"/>
  <c r="L4" i="6" l="1"/>
  <c r="B13" i="11" s="1"/>
  <c r="L4" i="8"/>
  <c r="B8" i="11" s="1"/>
  <c r="L4" i="5"/>
  <c r="B7" i="11" s="1"/>
  <c r="L4" i="2"/>
  <c r="B5" i="11" s="1"/>
  <c r="L4" i="7"/>
  <c r="B9" i="11" s="1"/>
  <c r="L4" i="4"/>
  <c r="B12" i="11" s="1"/>
  <c r="L4" i="10"/>
  <c r="B11" i="11" s="1"/>
  <c r="L4" i="3"/>
  <c r="B6" i="11" s="1"/>
  <c r="L4" i="9"/>
  <c r="B10" i="11" s="1"/>
  <c r="E5" i="11" l="1" a="1"/>
  <c r="E5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<sst xmlns="http://schemas.openxmlformats.org/spreadsheetml/2006/main" count="3164" uniqueCount="87">
  <si>
    <t>XXIII Mundial USA/MEX/CAN 2026</t>
  </si>
  <si>
    <t>Fecha</t>
  </si>
  <si>
    <t>Hora</t>
  </si>
  <si>
    <t>Jor.</t>
  </si>
  <si>
    <t>Casa</t>
  </si>
  <si>
    <t>Gol</t>
  </si>
  <si>
    <t>Fuera</t>
  </si>
  <si>
    <t>A</t>
  </si>
  <si>
    <t>J1</t>
  </si>
  <si>
    <t>México</t>
  </si>
  <si>
    <t>Sudáfrica</t>
  </si>
  <si>
    <t>Corea del Sur</t>
  </si>
  <si>
    <t>República Checa</t>
  </si>
  <si>
    <t>J2</t>
  </si>
  <si>
    <t>J3</t>
  </si>
  <si>
    <t>B</t>
  </si>
  <si>
    <t>Canadá</t>
  </si>
  <si>
    <t>Bosnia y Herzegovina</t>
  </si>
  <si>
    <t>Catar</t>
  </si>
  <si>
    <t>Suiza</t>
  </si>
  <si>
    <t>C</t>
  </si>
  <si>
    <t>Brasil</t>
  </si>
  <si>
    <t>Marruecos</t>
  </si>
  <si>
    <t>Haití</t>
  </si>
  <si>
    <t>Escocia</t>
  </si>
  <si>
    <t>D</t>
  </si>
  <si>
    <t>Estados Unidos</t>
  </si>
  <si>
    <t>Paraguay</t>
  </si>
  <si>
    <t>Australia</t>
  </si>
  <si>
    <t>Turquía</t>
  </si>
  <si>
    <t>E</t>
  </si>
  <si>
    <t>Alemania</t>
  </si>
  <si>
    <t>Curazao</t>
  </si>
  <si>
    <t>Costa de Marfil</t>
  </si>
  <si>
    <t>Ecuador</t>
  </si>
  <si>
    <t>F</t>
  </si>
  <si>
    <t>Países Bajos</t>
  </si>
  <si>
    <t>Japón</t>
  </si>
  <si>
    <t>Suecia</t>
  </si>
  <si>
    <t>Túnez</t>
  </si>
  <si>
    <t>G</t>
  </si>
  <si>
    <t>Bélgica</t>
  </si>
  <si>
    <t>Egipto</t>
  </si>
  <si>
    <t>Irán</t>
  </si>
  <si>
    <t>Nueva Zelanda</t>
  </si>
  <si>
    <t>H</t>
  </si>
  <si>
    <t>España</t>
  </si>
  <si>
    <t>Cabo Verde</t>
  </si>
  <si>
    <t>Arabia Saudita</t>
  </si>
  <si>
    <t>Uruguay</t>
  </si>
  <si>
    <t>I</t>
  </si>
  <si>
    <t>Francia</t>
  </si>
  <si>
    <t>Senegal</t>
  </si>
  <si>
    <t>Irak</t>
  </si>
  <si>
    <t>Noruega</t>
  </si>
  <si>
    <t>J</t>
  </si>
  <si>
    <t>Argentina</t>
  </si>
  <si>
    <t>Argelia</t>
  </si>
  <si>
    <t>Austria</t>
  </si>
  <si>
    <t>Jordania</t>
  </si>
  <si>
    <t>K</t>
  </si>
  <si>
    <t>Portugal</t>
  </si>
  <si>
    <t>RD Congo</t>
  </si>
  <si>
    <t>Uzbekistán</t>
  </si>
  <si>
    <t>Colombia</t>
  </si>
  <si>
    <t>L</t>
  </si>
  <si>
    <t>Inglaterra</t>
  </si>
  <si>
    <t>Croacia</t>
  </si>
  <si>
    <t>Ghana</t>
  </si>
  <si>
    <t>Panamá</t>
  </si>
  <si>
    <t>Posición</t>
  </si>
  <si>
    <t>Puntos</t>
  </si>
  <si>
    <t>Usuario</t>
  </si>
  <si>
    <t>Total</t>
  </si>
  <si>
    <t>+2 puntos - marcador exacto</t>
  </si>
  <si>
    <t>+1 punto - resultado (ganador/empate)</t>
  </si>
  <si>
    <t>Cindy</t>
  </si>
  <si>
    <t>Wendy</t>
  </si>
  <si>
    <t>Packy</t>
  </si>
  <si>
    <t>Jimmy</t>
  </si>
  <si>
    <t>Bere</t>
  </si>
  <si>
    <t>Erick</t>
  </si>
  <si>
    <t>Erik</t>
  </si>
  <si>
    <t>Lennon</t>
  </si>
  <si>
    <t>Yulian</t>
  </si>
  <si>
    <t>Local</t>
  </si>
  <si>
    <t>Visitante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</si>
</sst>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2"/>
      <color theme="1"/>
      <name val="Avenir Next LT Pro Light"/>
      <family val="2"/>
    </font>
    <font>
      <b/>
      <sz val="20"/>
      <color rgb="FF133461"/>
      <name val="Avenir Next LT Pro Light"/>
      <family val="2"/>
    </font>
    <font>
      <b/>
      <sz val="12"/>
      <color theme="1"/>
      <name val="Avenir Next LT Pro Light"/>
      <family val="2"/>
    </font>
    <font>
      <sz val="9"/>
      <color theme="1"/>
      <name val="Avenir Next LT Pro Light"/>
      <family val="2"/>
    </font>
    <font>
      <b/>
      <sz val="8"/>
      <color theme="1"/>
      <name val="Avenir Next LT Pro Light"/>
      <family val="2"/>
    </font>
    <font>
      <b/>
      <sz val="8"/>
      <color rgb="FF1B4066"/>
      <name val="Avenir Next LT Pro Light"/>
      <family val="2"/>
    </font>
    <font>
      <b/>
      <sz val="8"/>
      <color rgb="FFFFFFFF"/>
      <name val="Avenir Next LT Pro Light"/>
      <family val="2"/>
    </font>
    <font>
      <sz val="8"/>
      <color rgb="FF1B4066"/>
      <name val="Avenir Next LT Pro Light"/>
      <family val="2"/>
    </font>
    <font>
      <sz val="8"/>
      <color theme="1"/>
      <name val="Avenir Next LT Pro Light"/>
      <family val="2"/>
    </font>
    <font>
      <sz val="12"/>
      <name val="Avenir Next LT Pro Light"/>
      <family val="2"/>
    </font>
    <font>
      <b/>
      <sz val="12"/>
      <name val="Avenir Next LT Pro Light"/>
      <family val="2"/>
    </font>
    <font>
      <b/>
      <sz val="11"/>
      <color theme="1"/>
      <name val="Avenir Next LT Pro Light"/>
      <family val="2"/>
    </font>
    <font>
      <b/>
      <sz val="10"/>
      <color theme="1"/>
      <name val="Avenir Next LT Pro Light"/>
      <family val="2"/>
    </font>
    <font>
      <b/>
      <sz val="10"/>
      <color rgb="FF1B4066"/>
      <name val="Avenir Next LT Pro Light"/>
      <family val="2"/>
    </font>
    <font>
      <b/>
      <sz val="10"/>
      <color rgb="FFFFFFFF"/>
      <name val="Avenir Next LT Pro Light"/>
      <family val="2"/>
    </font>
    <font>
      <sz val="10"/>
      <color rgb="FF1B4066"/>
      <name val="Avenir Next LT Pro Light"/>
      <family val="2"/>
    </font>
    <font>
      <sz val="10"/>
      <color theme="1"/>
      <name val="Avenir Next LT Pro Light"/>
      <family val="2"/>
    </font>
    <font>
      <b/>
      <sz val="12"/>
      <color theme="0"/>
      <name val="Avenir Next LT Pro Light"/>
      <family val="2"/>
    </font>
    <font>
      <sz val="12"/>
      <color theme="0"/>
      <name val="Avenir Next LT Pro Light"/>
      <family val="2"/>
    </font>
    <font>
      <sz val="8"/>
      <name val="Avenir Next LT Pro Light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50009"/>
        <bgColor indexed="64"/>
      </patternFill>
    </fill>
    <fill>
      <patternFill patternType="solid">
        <fgColor rgb="FFF2EB71"/>
        <bgColor indexed="64"/>
      </patternFill>
    </fill>
    <fill>
      <patternFill patternType="solid">
        <fgColor rgb="FF2E5DA6"/>
        <bgColor indexed="64"/>
      </patternFill>
    </fill>
    <fill>
      <patternFill patternType="solid">
        <fgColor rgb="FFF27C0F"/>
        <bgColor indexed="64"/>
      </patternFill>
    </fill>
    <fill>
      <patternFill patternType="solid">
        <fgColor rgb="FF00684E"/>
        <bgColor indexed="64"/>
      </patternFill>
    </fill>
    <fill>
      <patternFill patternType="solid">
        <fgColor rgb="FFB9AFD2"/>
        <bgColor indexed="64"/>
      </patternFill>
    </fill>
    <fill>
      <patternFill patternType="solid">
        <fgColor rgb="FF6DBBB7"/>
        <bgColor indexed="64"/>
      </patternFill>
    </fill>
    <fill>
      <patternFill patternType="solid">
        <fgColor rgb="FF532C92"/>
        <bgColor indexed="64"/>
      </patternFill>
    </fill>
    <fill>
      <patternFill patternType="solid">
        <fgColor rgb="FFF6AB9E"/>
        <bgColor indexed="64"/>
      </patternFill>
    </fill>
    <fill>
      <patternFill patternType="solid">
        <fgColor rgb="FFEA3270"/>
        <bgColor indexed="64"/>
      </patternFill>
    </fill>
    <fill>
      <patternFill patternType="solid">
        <fgColor rgb="FF86002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</fills>
  <borders count="3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2F2F2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CCCCCC"/>
      </bottom>
      <diagonal/>
    </border>
    <border>
      <left style="medium">
        <color rgb="FFBFBFBF"/>
      </left>
      <right style="medium">
        <color rgb="FFCCCCCC"/>
      </right>
      <top style="medium">
        <color rgb="FFCCCCCC"/>
      </top>
      <bottom/>
      <diagonal/>
    </border>
    <border>
      <left style="medium">
        <color rgb="FFBFBFBF"/>
      </left>
      <right style="medium">
        <color rgb="FFCCCCCC"/>
      </right>
      <top/>
      <bottom/>
      <diagonal/>
    </border>
    <border>
      <left style="medium">
        <color rgb="FFBFBFBF"/>
      </left>
      <right style="medium">
        <color rgb="FFCCCCCC"/>
      </right>
      <top/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/>
      <top style="medium">
        <color rgb="FFBFBFBF"/>
      </top>
      <bottom style="medium">
        <color rgb="FFCCCCCC"/>
      </bottom>
      <diagonal/>
    </border>
    <border>
      <left style="medium">
        <color rgb="FFBFBFBF"/>
      </left>
      <right/>
      <top style="medium">
        <color rgb="FFCCCCCC"/>
      </top>
      <bottom style="medium">
        <color rgb="FFCCCCCC"/>
      </bottom>
      <diagonal/>
    </border>
    <border>
      <left style="medium">
        <color rgb="FFBFBFBF"/>
      </left>
      <right/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  <border>
      <left style="medium">
        <color rgb="FFCCCCCC"/>
      </left>
      <right/>
      <top style="medium">
        <color theme="2" tint="-9.9978637043366805E-2"/>
      </top>
      <bottom style="medium">
        <color rgb="FFBFBFBF"/>
      </bottom>
      <diagonal/>
    </border>
    <border>
      <left/>
      <right/>
      <top style="medium">
        <color theme="2" tint="-9.9978637043366805E-2"/>
      </top>
      <bottom style="medium">
        <color rgb="FFBFBFBF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rgb="FFBFBFBF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theme="2" tint="-9.9978637043366805E-2"/>
      </right>
      <top style="medium">
        <color rgb="FFCCCCCC"/>
      </top>
      <bottom style="medium">
        <color rgb="FFCCCCCC"/>
      </bottom>
      <diagonal/>
    </border>
    <border>
      <left/>
      <right style="medium">
        <color theme="2" tint="-9.9978637043366805E-2"/>
      </right>
      <top style="medium">
        <color rgb="FFBFBFBF"/>
      </top>
      <bottom style="medium">
        <color rgb="FFBFBFBF"/>
      </bottom>
      <diagonal/>
    </border>
    <border>
      <left/>
      <right style="medium">
        <color theme="2" tint="-9.9978637043366805E-2"/>
      </right>
      <top style="medium">
        <color rgb="FFBFBFBF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5" fillId="4" borderId="3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0" xfId="0" applyFont="1" applyFill="1" applyBorder="1" applyAlignment="1" applyProtection="1">
      <alignment horizontal="center" vertical="center"/>
      <protection locked="0"/>
    </xf>
    <xf numFmtId="0" fontId="6" fillId="4" borderId="4" xfId="0" applyFont="1" applyFill="1" applyBorder="1" applyAlignment="1" applyProtection="1">
      <alignment horizontal="center" vertical="center"/>
      <protection locked="0"/>
    </xf>
    <xf numFmtId="14" fontId="8" fillId="5" borderId="1" xfId="0" applyNumberFormat="1" applyFont="1" applyFill="1" applyBorder="1" applyAlignment="1" applyProtection="1">
      <alignment horizontal="center" vertical="center"/>
      <protection locked="0"/>
    </xf>
    <xf numFmtId="20" fontId="8" fillId="5" borderId="1" xfId="0" applyNumberFormat="1" applyFont="1" applyFill="1" applyBorder="1" applyAlignment="1" applyProtection="1">
      <alignment horizontal="center" vertical="center"/>
      <protection locked="0"/>
    </xf>
    <xf numFmtId="0" fontId="8" fillId="5" borderId="5" xfId="0" applyFont="1" applyFill="1" applyBorder="1" applyAlignment="1" applyProtection="1">
      <alignment horizontal="center" vertical="center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6" borderId="9" xfId="0" applyFont="1" applyFill="1" applyBorder="1" applyAlignment="1">
      <alignment horizontal="center" vertical="center"/>
    </xf>
    <xf numFmtId="14" fontId="8" fillId="5" borderId="2" xfId="0" applyNumberFormat="1" applyFont="1" applyFill="1" applyBorder="1" applyAlignment="1" applyProtection="1">
      <alignment horizontal="center" vertical="center"/>
      <protection locked="0"/>
    </xf>
    <xf numFmtId="20" fontId="8" fillId="5" borderId="2" xfId="0" applyNumberFormat="1" applyFont="1" applyFill="1" applyBorder="1" applyAlignment="1" applyProtection="1">
      <alignment horizontal="center" vertical="center"/>
      <protection locked="0"/>
    </xf>
    <xf numFmtId="0" fontId="8" fillId="5" borderId="9" xfId="0" applyFont="1" applyFill="1" applyBorder="1" applyAlignment="1" applyProtection="1">
      <alignment horizontal="center" vertical="center"/>
      <protection locked="0"/>
    </xf>
    <xf numFmtId="0" fontId="6" fillId="5" borderId="12" xfId="0" applyFont="1" applyFill="1" applyBorder="1" applyAlignment="1" applyProtection="1">
      <alignment horizontal="center" vertical="center"/>
      <protection locked="0"/>
    </xf>
    <xf numFmtId="0" fontId="9" fillId="4" borderId="3" xfId="0" applyFont="1" applyFill="1" applyBorder="1" applyAlignment="1" applyProtection="1">
      <alignment horizontal="center" vertical="center"/>
      <protection locked="0"/>
    </xf>
    <xf numFmtId="0" fontId="9" fillId="3" borderId="13" xfId="0" applyFont="1" applyFill="1" applyBorder="1" applyAlignment="1" applyProtection="1">
      <alignment horizontal="center" vertical="center"/>
      <protection locked="0"/>
    </xf>
    <xf numFmtId="0" fontId="9" fillId="3" borderId="14" xfId="0" applyFont="1" applyFill="1" applyBorder="1" applyAlignment="1" applyProtection="1">
      <alignment horizontal="center" vertical="center"/>
      <protection locked="0"/>
    </xf>
    <xf numFmtId="0" fontId="9" fillId="3" borderId="15" xfId="0" applyFont="1" applyFill="1" applyBorder="1" applyAlignment="1" applyProtection="1">
      <alignment horizontal="center" vertical="center"/>
      <protection locked="0"/>
    </xf>
    <xf numFmtId="14" fontId="6" fillId="5" borderId="1" xfId="0" applyNumberFormat="1" applyFont="1" applyFill="1" applyBorder="1" applyAlignment="1" applyProtection="1">
      <alignment horizontal="center" vertical="center"/>
      <protection locked="0"/>
    </xf>
    <xf numFmtId="14" fontId="6" fillId="5" borderId="22" xfId="0" applyNumberFormat="1" applyFont="1" applyFill="1" applyBorder="1" applyAlignment="1" applyProtection="1">
      <alignment horizontal="center" vertical="center"/>
      <protection locked="0"/>
    </xf>
    <xf numFmtId="0" fontId="9" fillId="3" borderId="23" xfId="0" applyFont="1" applyFill="1" applyBorder="1" applyAlignment="1" applyProtection="1">
      <alignment horizontal="center" vertical="center"/>
      <protection locked="0"/>
    </xf>
    <xf numFmtId="0" fontId="6" fillId="4" borderId="22" xfId="0" applyFont="1" applyFill="1" applyBorder="1" applyAlignment="1" applyProtection="1">
      <alignment horizontal="center" vertical="center"/>
      <protection locked="0"/>
    </xf>
    <xf numFmtId="0" fontId="9" fillId="3" borderId="24" xfId="0" applyFont="1" applyFill="1" applyBorder="1" applyAlignment="1" applyProtection="1">
      <alignment horizontal="center" vertical="center"/>
      <protection locked="0"/>
    </xf>
    <xf numFmtId="0" fontId="5" fillId="18" borderId="9" xfId="0" applyFont="1" applyFill="1" applyBorder="1" applyAlignment="1" applyProtection="1">
      <alignment horizontal="center" vertical="center"/>
      <protection locked="0"/>
    </xf>
    <xf numFmtId="0" fontId="5" fillId="18" borderId="9" xfId="0" applyFont="1" applyFill="1" applyBorder="1" applyAlignment="1">
      <alignment horizontal="center" vertical="center"/>
    </xf>
    <xf numFmtId="0" fontId="6" fillId="19" borderId="1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 applyProtection="1">
      <alignment horizontal="center" vertical="center"/>
      <protection locked="0"/>
    </xf>
    <xf numFmtId="0" fontId="13" fillId="4" borderId="3" xfId="0" applyFont="1" applyFill="1" applyBorder="1" applyAlignment="1" applyProtection="1">
      <alignment horizontal="center" vertical="center"/>
      <protection locked="0"/>
    </xf>
    <xf numFmtId="0" fontId="14" fillId="4" borderId="1" xfId="0" applyFont="1" applyFill="1" applyBorder="1" applyAlignment="1" applyProtection="1">
      <alignment horizontal="center" vertical="center"/>
      <protection locked="0"/>
    </xf>
    <xf numFmtId="0" fontId="14" fillId="4" borderId="10" xfId="0" applyFont="1" applyFill="1" applyBorder="1" applyAlignment="1" applyProtection="1">
      <alignment horizontal="center" vertical="center"/>
      <protection locked="0"/>
    </xf>
    <xf numFmtId="0" fontId="14" fillId="4" borderId="4" xfId="0" applyFont="1" applyFill="1" applyBorder="1" applyAlignment="1" applyProtection="1">
      <alignment horizontal="center" vertical="center"/>
      <protection locked="0"/>
    </xf>
    <xf numFmtId="14" fontId="16" fillId="5" borderId="1" xfId="0" applyNumberFormat="1" applyFont="1" applyFill="1" applyBorder="1" applyAlignment="1" applyProtection="1">
      <alignment horizontal="center" vertical="center"/>
      <protection locked="0"/>
    </xf>
    <xf numFmtId="20" fontId="16" fillId="5" borderId="1" xfId="0" applyNumberFormat="1" applyFont="1" applyFill="1" applyBorder="1" applyAlignment="1" applyProtection="1">
      <alignment horizontal="center" vertical="center"/>
      <protection locked="0"/>
    </xf>
    <xf numFmtId="0" fontId="16" fillId="5" borderId="5" xfId="0" applyFont="1" applyFill="1" applyBorder="1" applyAlignment="1" applyProtection="1">
      <alignment horizontal="center" vertical="center"/>
      <protection locked="0"/>
    </xf>
    <xf numFmtId="0" fontId="14" fillId="5" borderId="11" xfId="0" applyFont="1" applyFill="1" applyBorder="1" applyAlignment="1" applyProtection="1">
      <alignment horizontal="center" vertical="center"/>
      <protection locked="0"/>
    </xf>
    <xf numFmtId="0" fontId="13" fillId="6" borderId="9" xfId="0" applyFont="1" applyFill="1" applyBorder="1" applyAlignment="1">
      <alignment horizontal="center" vertical="center"/>
    </xf>
    <xf numFmtId="14" fontId="14" fillId="5" borderId="1" xfId="0" applyNumberFormat="1" applyFont="1" applyFill="1" applyBorder="1" applyAlignment="1" applyProtection="1">
      <alignment horizontal="center" vertical="center"/>
      <protection locked="0"/>
    </xf>
    <xf numFmtId="0" fontId="13" fillId="18" borderId="9" xfId="0" applyFont="1" applyFill="1" applyBorder="1" applyAlignment="1" applyProtection="1">
      <alignment horizontal="center" vertical="center"/>
      <protection locked="0"/>
    </xf>
    <xf numFmtId="14" fontId="16" fillId="5" borderId="2" xfId="0" applyNumberFormat="1" applyFont="1" applyFill="1" applyBorder="1" applyAlignment="1" applyProtection="1">
      <alignment horizontal="center" vertical="center"/>
      <protection locked="0"/>
    </xf>
    <xf numFmtId="20" fontId="16" fillId="5" borderId="2" xfId="0" applyNumberFormat="1" applyFont="1" applyFill="1" applyBorder="1" applyAlignment="1" applyProtection="1">
      <alignment horizontal="center" vertical="center"/>
      <protection locked="0"/>
    </xf>
    <xf numFmtId="0" fontId="16" fillId="5" borderId="9" xfId="0" applyFont="1" applyFill="1" applyBorder="1" applyAlignment="1" applyProtection="1">
      <alignment horizontal="center" vertical="center"/>
      <protection locked="0"/>
    </xf>
    <xf numFmtId="0" fontId="14" fillId="5" borderId="12" xfId="0" applyFont="1" applyFill="1" applyBorder="1" applyAlignment="1" applyProtection="1">
      <alignment horizontal="center" vertical="center"/>
      <protection locked="0"/>
    </xf>
    <xf numFmtId="14" fontId="14" fillId="5" borderId="22" xfId="0" applyNumberFormat="1" applyFont="1" applyFill="1" applyBorder="1" applyAlignment="1" applyProtection="1">
      <alignment horizontal="center" vertical="center"/>
      <protection locked="0"/>
    </xf>
    <xf numFmtId="0" fontId="17" fillId="3" borderId="13" xfId="0" applyFont="1" applyFill="1" applyBorder="1" applyAlignment="1" applyProtection="1">
      <alignment horizontal="center" vertical="center"/>
      <protection locked="0"/>
    </xf>
    <xf numFmtId="0" fontId="17" fillId="3" borderId="14" xfId="0" applyFont="1" applyFill="1" applyBorder="1" applyAlignment="1" applyProtection="1">
      <alignment horizontal="center" vertical="center"/>
      <protection locked="0"/>
    </xf>
    <xf numFmtId="0" fontId="17" fillId="3" borderId="23" xfId="0" applyFont="1" applyFill="1" applyBorder="1" applyAlignment="1" applyProtection="1">
      <alignment horizontal="center" vertical="center"/>
      <protection locked="0"/>
    </xf>
    <xf numFmtId="0" fontId="17" fillId="4" borderId="3" xfId="0" applyFont="1" applyFill="1" applyBorder="1" applyAlignment="1" applyProtection="1">
      <alignment horizontal="center" vertical="center"/>
      <protection locked="0"/>
    </xf>
    <xf numFmtId="0" fontId="14" fillId="4" borderId="22" xfId="0" applyFont="1" applyFill="1" applyBorder="1" applyAlignment="1" applyProtection="1">
      <alignment horizontal="center" vertical="center"/>
      <protection locked="0"/>
    </xf>
    <xf numFmtId="0" fontId="13" fillId="18" borderId="9" xfId="0" applyFont="1" applyFill="1" applyBorder="1" applyAlignment="1">
      <alignment horizontal="center" vertical="center"/>
    </xf>
    <xf numFmtId="0" fontId="17" fillId="3" borderId="15" xfId="0" applyFont="1" applyFill="1" applyBorder="1" applyAlignment="1" applyProtection="1">
      <alignment horizontal="center" vertical="center"/>
      <protection locked="0"/>
    </xf>
    <xf numFmtId="0" fontId="17" fillId="3" borderId="24" xfId="0" applyFont="1" applyFill="1" applyBorder="1" applyAlignment="1" applyProtection="1">
      <alignment horizontal="center" vertical="center"/>
      <protection locked="0"/>
    </xf>
    <xf numFmtId="0" fontId="10" fillId="18" borderId="0" xfId="0" applyFont="1" applyFill="1" applyAlignment="1">
      <alignment horizontal="center" vertical="center"/>
    </xf>
    <xf numFmtId="0" fontId="10" fillId="21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0" fillId="22" borderId="0" xfId="0" applyFont="1" applyFill="1" applyAlignment="1">
      <alignment horizontal="center" vertical="center"/>
    </xf>
    <xf numFmtId="0" fontId="6" fillId="22" borderId="11" xfId="0" applyFont="1" applyFill="1" applyBorder="1" applyAlignment="1" applyProtection="1">
      <alignment horizontal="center" vertical="center"/>
      <protection locked="0"/>
    </xf>
    <xf numFmtId="14" fontId="6" fillId="22" borderId="22" xfId="0" applyNumberFormat="1" applyFont="1" applyFill="1" applyBorder="1" applyAlignment="1" applyProtection="1">
      <alignment horizontal="center" vertical="center"/>
      <protection locked="0"/>
    </xf>
    <xf numFmtId="0" fontId="5" fillId="23" borderId="9" xfId="0" applyFont="1" applyFill="1" applyBorder="1" applyAlignment="1">
      <alignment horizontal="center" vertical="center"/>
    </xf>
    <xf numFmtId="0" fontId="2" fillId="2" borderId="21" xfId="0" applyFont="1" applyFill="1" applyBorder="1" applyAlignment="1" applyProtection="1">
      <alignment horizontal="center" vertical="center"/>
      <protection locked="0"/>
    </xf>
    <xf numFmtId="0" fontId="2" fillId="2" borderId="19" xfId="0" applyFont="1" applyFill="1" applyBorder="1" applyAlignment="1" applyProtection="1">
      <alignment horizontal="center" vertical="center"/>
      <protection locked="0"/>
    </xf>
    <xf numFmtId="0" fontId="2" fillId="2" borderId="20" xfId="0" applyFont="1" applyFill="1" applyBorder="1" applyAlignment="1" applyProtection="1">
      <alignment horizontal="center" vertical="center"/>
      <protection locked="0"/>
    </xf>
    <xf numFmtId="0" fontId="4" fillId="3" borderId="16" xfId="0" applyFont="1" applyFill="1" applyBorder="1" applyAlignment="1" applyProtection="1">
      <alignment horizontal="center" vertical="center"/>
      <protection locked="0"/>
    </xf>
    <xf numFmtId="0" fontId="4" fillId="3" borderId="17" xfId="0" applyFont="1" applyFill="1" applyBorder="1" applyAlignment="1" applyProtection="1">
      <alignment horizontal="center" vertical="center"/>
      <protection locked="0"/>
    </xf>
    <xf numFmtId="0" fontId="4" fillId="3" borderId="18" xfId="0" applyFont="1" applyFill="1" applyBorder="1" applyAlignment="1" applyProtection="1">
      <alignment horizontal="center" vertical="center"/>
      <protection locked="0"/>
    </xf>
    <xf numFmtId="0" fontId="7" fillId="17" borderId="6" xfId="0" applyFont="1" applyFill="1" applyBorder="1" applyAlignment="1" applyProtection="1">
      <alignment horizontal="center" vertical="center"/>
      <protection locked="0"/>
    </xf>
    <xf numFmtId="0" fontId="7" fillId="17" borderId="7" xfId="0" applyFont="1" applyFill="1" applyBorder="1" applyAlignment="1" applyProtection="1">
      <alignment horizontal="center" vertical="center"/>
      <protection locked="0"/>
    </xf>
    <xf numFmtId="0" fontId="7" fillId="17" borderId="8" xfId="0" applyFont="1" applyFill="1" applyBorder="1" applyAlignment="1" applyProtection="1">
      <alignment horizontal="center" vertical="center"/>
      <protection locked="0"/>
    </xf>
    <xf numFmtId="0" fontId="7" fillId="11" borderId="6" xfId="0" applyFont="1" applyFill="1" applyBorder="1" applyAlignment="1" applyProtection="1">
      <alignment horizontal="center" vertical="center"/>
      <protection locked="0"/>
    </xf>
    <xf numFmtId="0" fontId="7" fillId="11" borderId="7" xfId="0" applyFont="1" applyFill="1" applyBorder="1" applyAlignment="1" applyProtection="1">
      <alignment horizontal="center" vertical="center"/>
      <protection locked="0"/>
    </xf>
    <xf numFmtId="0" fontId="7" fillId="11" borderId="8" xfId="0" applyFont="1" applyFill="1" applyBorder="1" applyAlignment="1" applyProtection="1">
      <alignment horizontal="center" vertical="center"/>
      <protection locked="0"/>
    </xf>
    <xf numFmtId="0" fontId="7" fillId="12" borderId="6" xfId="0" applyFont="1" applyFill="1" applyBorder="1" applyAlignment="1" applyProtection="1">
      <alignment horizontal="center" vertical="center"/>
      <protection locked="0"/>
    </xf>
    <xf numFmtId="0" fontId="7" fillId="12" borderId="7" xfId="0" applyFont="1" applyFill="1" applyBorder="1" applyAlignment="1" applyProtection="1">
      <alignment horizontal="center" vertical="center"/>
      <protection locked="0"/>
    </xf>
    <xf numFmtId="0" fontId="7" fillId="12" borderId="8" xfId="0" applyFont="1" applyFill="1" applyBorder="1" applyAlignment="1" applyProtection="1">
      <alignment horizontal="center" vertical="center"/>
      <protection locked="0"/>
    </xf>
    <xf numFmtId="0" fontId="7" fillId="13" borderId="6" xfId="0" applyFont="1" applyFill="1" applyBorder="1" applyAlignment="1" applyProtection="1">
      <alignment horizontal="center" vertical="center"/>
      <protection locked="0"/>
    </xf>
    <xf numFmtId="0" fontId="7" fillId="13" borderId="7" xfId="0" applyFont="1" applyFill="1" applyBorder="1" applyAlignment="1" applyProtection="1">
      <alignment horizontal="center" vertical="center"/>
      <protection locked="0"/>
    </xf>
    <xf numFmtId="0" fontId="7" fillId="13" borderId="8" xfId="0" applyFont="1" applyFill="1" applyBorder="1" applyAlignment="1" applyProtection="1">
      <alignment horizontal="center" vertical="center"/>
      <protection locked="0"/>
    </xf>
    <xf numFmtId="0" fontId="7" fillId="14" borderId="6" xfId="0" applyFont="1" applyFill="1" applyBorder="1" applyAlignment="1" applyProtection="1">
      <alignment horizontal="center" vertical="center"/>
      <protection locked="0"/>
    </xf>
    <xf numFmtId="0" fontId="7" fillId="14" borderId="7" xfId="0" applyFont="1" applyFill="1" applyBorder="1" applyAlignment="1" applyProtection="1">
      <alignment horizontal="center" vertical="center"/>
      <protection locked="0"/>
    </xf>
    <xf numFmtId="0" fontId="7" fillId="14" borderId="8" xfId="0" applyFont="1" applyFill="1" applyBorder="1" applyAlignment="1" applyProtection="1">
      <alignment horizontal="center" vertical="center"/>
      <protection locked="0"/>
    </xf>
    <xf numFmtId="0" fontId="7" fillId="15" borderId="6" xfId="0" applyFont="1" applyFill="1" applyBorder="1" applyAlignment="1" applyProtection="1">
      <alignment horizontal="center" vertical="center"/>
      <protection locked="0"/>
    </xf>
    <xf numFmtId="0" fontId="7" fillId="15" borderId="7" xfId="0" applyFont="1" applyFill="1" applyBorder="1" applyAlignment="1" applyProtection="1">
      <alignment horizontal="center" vertical="center"/>
      <protection locked="0"/>
    </xf>
    <xf numFmtId="0" fontId="7" fillId="15" borderId="8" xfId="0" applyFont="1" applyFill="1" applyBorder="1" applyAlignment="1" applyProtection="1">
      <alignment horizontal="center" vertical="center"/>
      <protection locked="0"/>
    </xf>
    <xf numFmtId="0" fontId="7" fillId="16" borderId="6" xfId="0" applyFont="1" applyFill="1" applyBorder="1" applyAlignment="1" applyProtection="1">
      <alignment horizontal="center" vertical="center"/>
      <protection locked="0"/>
    </xf>
    <xf numFmtId="0" fontId="7" fillId="16" borderId="7" xfId="0" applyFont="1" applyFill="1" applyBorder="1" applyAlignment="1" applyProtection="1">
      <alignment horizontal="center" vertical="center"/>
      <protection locked="0"/>
    </xf>
    <xf numFmtId="0" fontId="7" fillId="16" borderId="8" xfId="0" applyFont="1" applyFill="1" applyBorder="1" applyAlignment="1" applyProtection="1">
      <alignment horizontal="center" vertical="center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0" fontId="7" fillId="4" borderId="7" xfId="0" applyFont="1" applyFill="1" applyBorder="1" applyAlignment="1" applyProtection="1">
      <alignment horizontal="center" vertical="center"/>
      <protection locked="0"/>
    </xf>
    <xf numFmtId="0" fontId="7" fillId="4" borderId="8" xfId="0" applyFont="1" applyFill="1" applyBorder="1" applyAlignment="1" applyProtection="1">
      <alignment horizontal="center" vertical="center"/>
      <protection locked="0"/>
    </xf>
    <xf numFmtId="0" fontId="7" fillId="7" borderId="6" xfId="0" applyFont="1" applyFill="1" applyBorder="1" applyAlignment="1" applyProtection="1">
      <alignment horizontal="center" vertical="center"/>
      <protection locked="0"/>
    </xf>
    <xf numFmtId="0" fontId="7" fillId="7" borderId="7" xfId="0" applyFont="1" applyFill="1" applyBorder="1" applyAlignment="1" applyProtection="1">
      <alignment horizontal="center" vertical="center"/>
      <protection locked="0"/>
    </xf>
    <xf numFmtId="0" fontId="7" fillId="7" borderId="8" xfId="0" applyFont="1" applyFill="1" applyBorder="1" applyAlignment="1" applyProtection="1">
      <alignment horizontal="center" vertical="center"/>
      <protection locked="0"/>
    </xf>
    <xf numFmtId="0" fontId="7" fillId="8" borderId="6" xfId="0" applyFont="1" applyFill="1" applyBorder="1" applyAlignment="1" applyProtection="1">
      <alignment horizontal="center" vertical="center"/>
      <protection locked="0"/>
    </xf>
    <xf numFmtId="0" fontId="7" fillId="8" borderId="7" xfId="0" applyFont="1" applyFill="1" applyBorder="1" applyAlignment="1" applyProtection="1">
      <alignment horizontal="center" vertical="center"/>
      <protection locked="0"/>
    </xf>
    <xf numFmtId="0" fontId="7" fillId="8" borderId="8" xfId="0" applyFont="1" applyFill="1" applyBorder="1" applyAlignment="1" applyProtection="1">
      <alignment horizontal="center" vertical="center"/>
      <protection locked="0"/>
    </xf>
    <xf numFmtId="0" fontId="7" fillId="9" borderId="6" xfId="0" applyFont="1" applyFill="1" applyBorder="1" applyAlignment="1" applyProtection="1">
      <alignment horizontal="center" vertical="center"/>
      <protection locked="0"/>
    </xf>
    <xf numFmtId="0" fontId="7" fillId="9" borderId="7" xfId="0" applyFont="1" applyFill="1" applyBorder="1" applyAlignment="1" applyProtection="1">
      <alignment horizontal="center" vertical="center"/>
      <protection locked="0"/>
    </xf>
    <xf numFmtId="0" fontId="7" fillId="9" borderId="8" xfId="0" applyFont="1" applyFill="1" applyBorder="1" applyAlignment="1" applyProtection="1">
      <alignment horizontal="center" vertical="center"/>
      <protection locked="0"/>
    </xf>
    <xf numFmtId="0" fontId="7" fillId="10" borderId="6" xfId="0" applyFont="1" applyFill="1" applyBorder="1" applyAlignment="1" applyProtection="1">
      <alignment horizontal="center" vertical="center"/>
      <protection locked="0"/>
    </xf>
    <xf numFmtId="0" fontId="7" fillId="10" borderId="7" xfId="0" applyFont="1" applyFill="1" applyBorder="1" applyAlignment="1" applyProtection="1">
      <alignment horizontal="center" vertical="center"/>
      <protection locked="0"/>
    </xf>
    <xf numFmtId="0" fontId="7" fillId="10" borderId="8" xfId="0" applyFont="1" applyFill="1" applyBorder="1" applyAlignment="1" applyProtection="1">
      <alignment horizontal="center" vertical="center"/>
      <protection locked="0"/>
    </xf>
    <xf numFmtId="49" fontId="20" fillId="20" borderId="25" xfId="0" applyNumberFormat="1" applyFont="1" applyFill="1" applyBorder="1" applyAlignment="1">
      <alignment horizontal="center" vertical="center"/>
    </xf>
    <xf numFmtId="49" fontId="20" fillId="20" borderId="26" xfId="0" applyNumberFormat="1" applyFont="1" applyFill="1" applyBorder="1" applyAlignment="1">
      <alignment horizontal="center" vertical="center"/>
    </xf>
    <xf numFmtId="49" fontId="20" fillId="20" borderId="27" xfId="0" applyNumberFormat="1" applyFont="1" applyFill="1" applyBorder="1" applyAlignment="1">
      <alignment horizontal="center" vertical="center"/>
    </xf>
    <xf numFmtId="49" fontId="20" fillId="20" borderId="28" xfId="0" applyNumberFormat="1" applyFont="1" applyFill="1" applyBorder="1" applyAlignment="1">
      <alignment horizontal="center" vertical="center"/>
    </xf>
    <xf numFmtId="49" fontId="20" fillId="20" borderId="29" xfId="0" applyNumberFormat="1" applyFont="1" applyFill="1" applyBorder="1" applyAlignment="1">
      <alignment horizontal="center" vertical="center"/>
    </xf>
    <xf numFmtId="49" fontId="20" fillId="20" borderId="30" xfId="0" applyNumberFormat="1" applyFont="1" applyFill="1" applyBorder="1" applyAlignment="1">
      <alignment horizontal="center" vertical="center"/>
    </xf>
    <xf numFmtId="0" fontId="15" fillId="9" borderId="6" xfId="0" applyFont="1" applyFill="1" applyBorder="1" applyAlignment="1" applyProtection="1">
      <alignment horizontal="center" vertical="center"/>
      <protection locked="0"/>
    </xf>
    <xf numFmtId="0" fontId="15" fillId="9" borderId="7" xfId="0" applyFont="1" applyFill="1" applyBorder="1" applyAlignment="1" applyProtection="1">
      <alignment horizontal="center" vertical="center"/>
      <protection locked="0"/>
    </xf>
    <xf numFmtId="0" fontId="15" fillId="9" borderId="8" xfId="0" applyFont="1" applyFill="1" applyBorder="1" applyAlignment="1" applyProtection="1">
      <alignment horizontal="center" vertical="center"/>
      <protection locked="0"/>
    </xf>
    <xf numFmtId="0" fontId="15" fillId="4" borderId="6" xfId="0" applyFont="1" applyFill="1" applyBorder="1" applyAlignment="1" applyProtection="1">
      <alignment horizontal="center" vertical="center"/>
      <protection locked="0"/>
    </xf>
    <xf numFmtId="0" fontId="15" fillId="4" borderId="7" xfId="0" applyFont="1" applyFill="1" applyBorder="1" applyAlignment="1" applyProtection="1">
      <alignment horizontal="center" vertical="center"/>
      <protection locked="0"/>
    </xf>
    <xf numFmtId="0" fontId="15" fillId="4" borderId="8" xfId="0" applyFont="1" applyFill="1" applyBorder="1" applyAlignment="1" applyProtection="1">
      <alignment horizontal="center" vertical="center"/>
      <protection locked="0"/>
    </xf>
    <xf numFmtId="0" fontId="15" fillId="7" borderId="6" xfId="0" applyFont="1" applyFill="1" applyBorder="1" applyAlignment="1" applyProtection="1">
      <alignment horizontal="center" vertical="center"/>
      <protection locked="0"/>
    </xf>
    <xf numFmtId="0" fontId="15" fillId="7" borderId="7" xfId="0" applyFont="1" applyFill="1" applyBorder="1" applyAlignment="1" applyProtection="1">
      <alignment horizontal="center" vertical="center"/>
      <protection locked="0"/>
    </xf>
    <xf numFmtId="0" fontId="15" fillId="7" borderId="8" xfId="0" applyFont="1" applyFill="1" applyBorder="1" applyAlignment="1" applyProtection="1">
      <alignment horizontal="center" vertical="center"/>
      <protection locked="0"/>
    </xf>
    <xf numFmtId="0" fontId="15" fillId="8" borderId="6" xfId="0" applyFont="1" applyFill="1" applyBorder="1" applyAlignment="1" applyProtection="1">
      <alignment horizontal="center" vertical="center"/>
      <protection locked="0"/>
    </xf>
    <xf numFmtId="0" fontId="15" fillId="8" borderId="7" xfId="0" applyFont="1" applyFill="1" applyBorder="1" applyAlignment="1" applyProtection="1">
      <alignment horizontal="center" vertical="center"/>
      <protection locked="0"/>
    </xf>
    <xf numFmtId="0" fontId="15" fillId="8" borderId="8" xfId="0" applyFont="1" applyFill="1" applyBorder="1" applyAlignment="1" applyProtection="1">
      <alignment horizontal="center" vertical="center"/>
      <protection locked="0"/>
    </xf>
    <xf numFmtId="0" fontId="15" fillId="16" borderId="6" xfId="0" applyFont="1" applyFill="1" applyBorder="1" applyAlignment="1" applyProtection="1">
      <alignment horizontal="center" vertical="center"/>
      <protection locked="0"/>
    </xf>
    <xf numFmtId="0" fontId="15" fillId="16" borderId="7" xfId="0" applyFont="1" applyFill="1" applyBorder="1" applyAlignment="1" applyProtection="1">
      <alignment horizontal="center" vertical="center"/>
      <protection locked="0"/>
    </xf>
    <xf numFmtId="0" fontId="15" fillId="16" borderId="8" xfId="0" applyFont="1" applyFill="1" applyBorder="1" applyAlignment="1" applyProtection="1">
      <alignment horizontal="center" vertical="center"/>
      <protection locked="0"/>
    </xf>
    <xf numFmtId="0" fontId="15" fillId="17" borderId="6" xfId="0" applyFont="1" applyFill="1" applyBorder="1" applyAlignment="1" applyProtection="1">
      <alignment horizontal="center" vertical="center"/>
      <protection locked="0"/>
    </xf>
    <xf numFmtId="0" fontId="15" fillId="17" borderId="7" xfId="0" applyFont="1" applyFill="1" applyBorder="1" applyAlignment="1" applyProtection="1">
      <alignment horizontal="center" vertical="center"/>
      <protection locked="0"/>
    </xf>
    <xf numFmtId="0" fontId="15" fillId="17" borderId="8" xfId="0" applyFont="1" applyFill="1" applyBorder="1" applyAlignment="1" applyProtection="1">
      <alignment horizontal="center" vertical="center"/>
      <protection locked="0"/>
    </xf>
    <xf numFmtId="0" fontId="15" fillId="10" borderId="6" xfId="0" applyFont="1" applyFill="1" applyBorder="1" applyAlignment="1" applyProtection="1">
      <alignment horizontal="center" vertical="center"/>
      <protection locked="0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15" fillId="10" borderId="8" xfId="0" applyFont="1" applyFill="1" applyBorder="1" applyAlignment="1" applyProtection="1">
      <alignment horizontal="center" vertical="center"/>
      <protection locked="0"/>
    </xf>
    <xf numFmtId="0" fontId="15" fillId="11" borderId="6" xfId="0" applyFont="1" applyFill="1" applyBorder="1" applyAlignment="1" applyProtection="1">
      <alignment horizontal="center" vertical="center"/>
      <protection locked="0"/>
    </xf>
    <xf numFmtId="0" fontId="15" fillId="11" borderId="7" xfId="0" applyFont="1" applyFill="1" applyBorder="1" applyAlignment="1" applyProtection="1">
      <alignment horizontal="center" vertical="center"/>
      <protection locked="0"/>
    </xf>
    <xf numFmtId="0" fontId="15" fillId="11" borderId="8" xfId="0" applyFont="1" applyFill="1" applyBorder="1" applyAlignment="1" applyProtection="1">
      <alignment horizontal="center" vertical="center"/>
      <protection locked="0"/>
    </xf>
    <xf numFmtId="0" fontId="15" fillId="12" borderId="6" xfId="0" applyFont="1" applyFill="1" applyBorder="1" applyAlignment="1" applyProtection="1">
      <alignment horizontal="center" vertical="center"/>
      <protection locked="0"/>
    </xf>
    <xf numFmtId="0" fontId="15" fillId="12" borderId="7" xfId="0" applyFont="1" applyFill="1" applyBorder="1" applyAlignment="1" applyProtection="1">
      <alignment horizontal="center" vertical="center"/>
      <protection locked="0"/>
    </xf>
    <xf numFmtId="0" fontId="15" fillId="12" borderId="8" xfId="0" applyFont="1" applyFill="1" applyBorder="1" applyAlignment="1" applyProtection="1">
      <alignment horizontal="center" vertical="center"/>
      <protection locked="0"/>
    </xf>
    <xf numFmtId="0" fontId="15" fillId="13" borderId="6" xfId="0" applyFont="1" applyFill="1" applyBorder="1" applyAlignment="1" applyProtection="1">
      <alignment horizontal="center" vertical="center"/>
      <protection locked="0"/>
    </xf>
    <xf numFmtId="0" fontId="15" fillId="13" borderId="7" xfId="0" applyFont="1" applyFill="1" applyBorder="1" applyAlignment="1" applyProtection="1">
      <alignment horizontal="center" vertical="center"/>
      <protection locked="0"/>
    </xf>
    <xf numFmtId="0" fontId="15" fillId="13" borderId="8" xfId="0" applyFont="1" applyFill="1" applyBorder="1" applyAlignment="1" applyProtection="1">
      <alignment horizontal="center" vertical="center"/>
      <protection locked="0"/>
    </xf>
    <xf numFmtId="0" fontId="15" fillId="14" borderId="6" xfId="0" applyFont="1" applyFill="1" applyBorder="1" applyAlignment="1" applyProtection="1">
      <alignment horizontal="center" vertical="center"/>
      <protection locked="0"/>
    </xf>
    <xf numFmtId="0" fontId="15" fillId="14" borderId="7" xfId="0" applyFont="1" applyFill="1" applyBorder="1" applyAlignment="1" applyProtection="1">
      <alignment horizontal="center" vertical="center"/>
      <protection locked="0"/>
    </xf>
    <xf numFmtId="0" fontId="15" fillId="14" borderId="8" xfId="0" applyFont="1" applyFill="1" applyBorder="1" applyAlignment="1" applyProtection="1">
      <alignment horizontal="center" vertical="center"/>
      <protection locked="0"/>
    </xf>
    <xf numFmtId="0" fontId="15" fillId="15" borderId="6" xfId="0" applyFont="1" applyFill="1" applyBorder="1" applyAlignment="1" applyProtection="1">
      <alignment horizontal="center" vertical="center"/>
      <protection locked="0"/>
    </xf>
    <xf numFmtId="0" fontId="15" fillId="15" borderId="7" xfId="0" applyFont="1" applyFill="1" applyBorder="1" applyAlignment="1" applyProtection="1">
      <alignment horizontal="center" vertical="center"/>
      <protection locked="0"/>
    </xf>
    <xf numFmtId="0" fontId="15" fillId="15" borderId="8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2F3CF"/>
      <color rgb="FFE6E8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0905-E9C6-4432-9C6B-539621FD9CC7}">
  <dimension ref="A1:H97"/>
  <sheetViews>
    <sheetView zoomScale="115" zoomScaleNormal="115" workbookViewId="0">
      <selection activeCell="H50" sqref="H50"/>
    </sheetView>
  </sheetViews>
  <sheetFormatPr baseColWidth="10" defaultRowHeight="15.6" x14ac:dyDescent="0.3"/>
  <cols>
    <col min="1" max="1" width="7.6640625" style="1" bestFit="1" customWidth="1"/>
    <col min="2" max="2" width="11.21875" style="1" bestFit="1" customWidth="1"/>
    <col min="3" max="3" width="6" style="1" bestFit="1" customWidth="1"/>
    <col min="4" max="4" width="4.88671875" style="1" bestFit="1" customWidth="1"/>
    <col min="5" max="5" width="17.109375" style="2" bestFit="1" customWidth="1"/>
    <col min="6" max="7" width="4.5546875" style="2" bestFit="1" customWidth="1"/>
    <col min="8" max="8" width="17.109375" style="1" bestFit="1" customWidth="1"/>
    <col min="9" max="16384" width="11.5546875" style="1"/>
  </cols>
  <sheetData>
    <row r="1" spans="1:8" ht="25.8" thickBot="1" x14ac:dyDescent="0.35">
      <c r="A1" s="63" t="s">
        <v>0</v>
      </c>
      <c r="B1" s="64"/>
      <c r="C1" s="64"/>
      <c r="D1" s="64"/>
      <c r="E1" s="64"/>
      <c r="F1" s="64"/>
      <c r="G1" s="64"/>
      <c r="H1" s="65"/>
    </row>
    <row r="2" spans="1:8" ht="16.2" thickBot="1" x14ac:dyDescent="0.35">
      <c r="A2" s="66"/>
      <c r="B2" s="67"/>
      <c r="C2" s="67"/>
      <c r="D2" s="67"/>
      <c r="E2" s="67"/>
      <c r="F2" s="67"/>
      <c r="G2" s="67"/>
      <c r="H2" s="68"/>
    </row>
    <row r="3" spans="1:8" s="2" customFormat="1" ht="16.2" thickBot="1" x14ac:dyDescent="0.35">
      <c r="A3" s="3"/>
      <c r="B3" s="4" t="s">
        <v>1</v>
      </c>
      <c r="C3" s="4" t="s">
        <v>2</v>
      </c>
      <c r="D3" s="4" t="s">
        <v>3</v>
      </c>
      <c r="E3" s="5" t="s">
        <v>4</v>
      </c>
      <c r="F3" s="6" t="s">
        <v>5</v>
      </c>
      <c r="G3" s="6" t="s">
        <v>5</v>
      </c>
      <c r="H3" s="4" t="s">
        <v>6</v>
      </c>
    </row>
    <row r="4" spans="1:8" ht="16.2" thickBot="1" x14ac:dyDescent="0.35">
      <c r="A4" s="90" t="s">
        <v>7</v>
      </c>
      <c r="B4" s="7">
        <v>46184</v>
      </c>
      <c r="C4" s="8">
        <v>0.875</v>
      </c>
      <c r="D4" s="9" t="s">
        <v>8</v>
      </c>
      <c r="E4" s="27" t="s">
        <v>9</v>
      </c>
      <c r="F4" s="11">
        <v>2</v>
      </c>
      <c r="G4" s="11">
        <v>0</v>
      </c>
      <c r="H4" s="20" t="s">
        <v>10</v>
      </c>
    </row>
    <row r="5" spans="1:8" ht="16.2" thickBot="1" x14ac:dyDescent="0.35">
      <c r="A5" s="91"/>
      <c r="B5" s="7">
        <v>46185</v>
      </c>
      <c r="C5" s="8">
        <v>0.16666666666666666</v>
      </c>
      <c r="D5" s="9" t="s">
        <v>8</v>
      </c>
      <c r="E5" s="27" t="s">
        <v>11</v>
      </c>
      <c r="F5" s="11">
        <v>2</v>
      </c>
      <c r="G5" s="11">
        <v>1</v>
      </c>
      <c r="H5" s="20" t="s">
        <v>12</v>
      </c>
    </row>
    <row r="6" spans="1:8" ht="16.2" thickBot="1" x14ac:dyDescent="0.35">
      <c r="A6" s="91"/>
      <c r="B6" s="7">
        <v>46191</v>
      </c>
      <c r="C6" s="8">
        <v>0.75</v>
      </c>
      <c r="D6" s="9" t="s">
        <v>13</v>
      </c>
      <c r="E6" s="10" t="s">
        <v>12</v>
      </c>
      <c r="F6" s="25"/>
      <c r="G6" s="25"/>
      <c r="H6" s="20" t="s">
        <v>10</v>
      </c>
    </row>
    <row r="7" spans="1:8" ht="16.2" thickBot="1" x14ac:dyDescent="0.35">
      <c r="A7" s="91"/>
      <c r="B7" s="7">
        <v>46192</v>
      </c>
      <c r="C7" s="8">
        <v>0.125</v>
      </c>
      <c r="D7" s="9" t="s">
        <v>13</v>
      </c>
      <c r="E7" s="10" t="s">
        <v>9</v>
      </c>
      <c r="F7" s="25"/>
      <c r="G7" s="25"/>
      <c r="H7" s="20" t="s">
        <v>11</v>
      </c>
    </row>
    <row r="8" spans="1:8" ht="16.2" thickBot="1" x14ac:dyDescent="0.35">
      <c r="A8" s="91"/>
      <c r="B8" s="7">
        <v>46198</v>
      </c>
      <c r="C8" s="8">
        <v>0.125</v>
      </c>
      <c r="D8" s="9" t="s">
        <v>14</v>
      </c>
      <c r="E8" s="10" t="s">
        <v>12</v>
      </c>
      <c r="F8" s="25"/>
      <c r="G8" s="25"/>
      <c r="H8" s="20" t="s">
        <v>9</v>
      </c>
    </row>
    <row r="9" spans="1:8" ht="16.2" thickBot="1" x14ac:dyDescent="0.35">
      <c r="A9" s="92"/>
      <c r="B9" s="12">
        <v>46198</v>
      </c>
      <c r="C9" s="13">
        <v>0.125</v>
      </c>
      <c r="D9" s="14" t="s">
        <v>14</v>
      </c>
      <c r="E9" s="15" t="s">
        <v>10</v>
      </c>
      <c r="F9" s="25"/>
      <c r="G9" s="25"/>
      <c r="H9" s="21" t="s">
        <v>11</v>
      </c>
    </row>
    <row r="10" spans="1:8" ht="16.2" thickBot="1" x14ac:dyDescent="0.35">
      <c r="A10" s="17"/>
      <c r="B10" s="18"/>
      <c r="C10" s="18"/>
      <c r="D10" s="18"/>
      <c r="E10" s="18"/>
      <c r="F10" s="18"/>
      <c r="G10" s="18"/>
      <c r="H10" s="22"/>
    </row>
    <row r="11" spans="1:8" ht="16.2" thickBot="1" x14ac:dyDescent="0.35">
      <c r="A11" s="16"/>
      <c r="B11" s="4" t="s">
        <v>1</v>
      </c>
      <c r="C11" s="4" t="s">
        <v>2</v>
      </c>
      <c r="D11" s="4" t="s">
        <v>3</v>
      </c>
      <c r="E11" s="5" t="s">
        <v>4</v>
      </c>
      <c r="F11" s="6" t="s">
        <v>5</v>
      </c>
      <c r="G11" s="6" t="s">
        <v>5</v>
      </c>
      <c r="H11" s="23" t="s">
        <v>6</v>
      </c>
    </row>
    <row r="12" spans="1:8" ht="16.2" thickBot="1" x14ac:dyDescent="0.35">
      <c r="A12" s="93" t="s">
        <v>15</v>
      </c>
      <c r="B12" s="7">
        <v>46185</v>
      </c>
      <c r="C12" s="8">
        <v>0.875</v>
      </c>
      <c r="D12" s="9" t="s">
        <v>8</v>
      </c>
      <c r="E12" s="60" t="s">
        <v>16</v>
      </c>
      <c r="F12" s="11">
        <v>1</v>
      </c>
      <c r="G12" s="11">
        <v>1</v>
      </c>
      <c r="H12" s="61" t="s">
        <v>17</v>
      </c>
    </row>
    <row r="13" spans="1:8" ht="16.2" thickBot="1" x14ac:dyDescent="0.35">
      <c r="A13" s="94"/>
      <c r="B13" s="7">
        <v>46186</v>
      </c>
      <c r="C13" s="8">
        <v>0.875</v>
      </c>
      <c r="D13" s="9" t="s">
        <v>8</v>
      </c>
      <c r="E13" s="60" t="s">
        <v>18</v>
      </c>
      <c r="F13" s="11">
        <v>1</v>
      </c>
      <c r="G13" s="11">
        <v>1</v>
      </c>
      <c r="H13" s="61" t="s">
        <v>19</v>
      </c>
    </row>
    <row r="14" spans="1:8" ht="16.2" thickBot="1" x14ac:dyDescent="0.35">
      <c r="A14" s="94"/>
      <c r="B14" s="7">
        <v>46191</v>
      </c>
      <c r="C14" s="8">
        <v>0.875</v>
      </c>
      <c r="D14" s="9" t="s">
        <v>13</v>
      </c>
      <c r="E14" s="10" t="s">
        <v>19</v>
      </c>
      <c r="F14" s="25"/>
      <c r="G14" s="25"/>
      <c r="H14" s="21" t="s">
        <v>17</v>
      </c>
    </row>
    <row r="15" spans="1:8" ht="16.2" thickBot="1" x14ac:dyDescent="0.35">
      <c r="A15" s="94"/>
      <c r="B15" s="7">
        <v>46192</v>
      </c>
      <c r="C15" s="8">
        <v>0</v>
      </c>
      <c r="D15" s="9" t="s">
        <v>13</v>
      </c>
      <c r="E15" s="10" t="s">
        <v>16</v>
      </c>
      <c r="F15" s="25"/>
      <c r="G15" s="25"/>
      <c r="H15" s="21" t="s">
        <v>18</v>
      </c>
    </row>
    <row r="16" spans="1:8" ht="16.2" thickBot="1" x14ac:dyDescent="0.35">
      <c r="A16" s="94"/>
      <c r="B16" s="7">
        <v>46197</v>
      </c>
      <c r="C16" s="8">
        <v>0.875</v>
      </c>
      <c r="D16" s="9" t="s">
        <v>14</v>
      </c>
      <c r="E16" s="10" t="s">
        <v>19</v>
      </c>
      <c r="F16" s="25"/>
      <c r="G16" s="25"/>
      <c r="H16" s="21" t="s">
        <v>16</v>
      </c>
    </row>
    <row r="17" spans="1:8" ht="16.2" thickBot="1" x14ac:dyDescent="0.35">
      <c r="A17" s="95"/>
      <c r="B17" s="12">
        <v>46197</v>
      </c>
      <c r="C17" s="13">
        <v>0.875</v>
      </c>
      <c r="D17" s="14" t="s">
        <v>14</v>
      </c>
      <c r="E17" s="15" t="s">
        <v>17</v>
      </c>
      <c r="F17" s="25"/>
      <c r="G17" s="25"/>
      <c r="H17" s="21" t="s">
        <v>18</v>
      </c>
    </row>
    <row r="18" spans="1:8" ht="16.2" thickBot="1" x14ac:dyDescent="0.35">
      <c r="A18" s="17"/>
      <c r="B18" s="18"/>
      <c r="C18" s="18"/>
      <c r="D18" s="18"/>
      <c r="E18" s="18"/>
      <c r="F18" s="18"/>
      <c r="G18" s="18"/>
      <c r="H18" s="22"/>
    </row>
    <row r="19" spans="1:8" ht="16.2" thickBot="1" x14ac:dyDescent="0.35">
      <c r="A19" s="16"/>
      <c r="B19" s="4" t="s">
        <v>1</v>
      </c>
      <c r="C19" s="4" t="s">
        <v>2</v>
      </c>
      <c r="D19" s="4" t="s">
        <v>3</v>
      </c>
      <c r="E19" s="5" t="s">
        <v>4</v>
      </c>
      <c r="F19" s="6" t="s">
        <v>5</v>
      </c>
      <c r="G19" s="6" t="s">
        <v>5</v>
      </c>
      <c r="H19" s="23" t="s">
        <v>6</v>
      </c>
    </row>
    <row r="20" spans="1:8" ht="16.2" thickBot="1" x14ac:dyDescent="0.35">
      <c r="A20" s="96" t="s">
        <v>20</v>
      </c>
      <c r="B20" s="7">
        <v>46187</v>
      </c>
      <c r="C20" s="8">
        <v>0</v>
      </c>
      <c r="D20" s="9" t="s">
        <v>8</v>
      </c>
      <c r="E20" s="60" t="s">
        <v>21</v>
      </c>
      <c r="F20" s="11">
        <v>1</v>
      </c>
      <c r="G20" s="11">
        <v>1</v>
      </c>
      <c r="H20" s="61" t="s">
        <v>22</v>
      </c>
    </row>
    <row r="21" spans="1:8" ht="16.2" thickBot="1" x14ac:dyDescent="0.35">
      <c r="A21" s="97"/>
      <c r="B21" s="7">
        <v>46187</v>
      </c>
      <c r="C21" s="8">
        <v>0.125</v>
      </c>
      <c r="D21" s="9" t="s">
        <v>8</v>
      </c>
      <c r="E21" s="10" t="s">
        <v>23</v>
      </c>
      <c r="F21" s="26">
        <v>0</v>
      </c>
      <c r="G21" s="26">
        <v>1</v>
      </c>
      <c r="H21" s="27" t="s">
        <v>24</v>
      </c>
    </row>
    <row r="22" spans="1:8" ht="16.2" thickBot="1" x14ac:dyDescent="0.35">
      <c r="A22" s="97"/>
      <c r="B22" s="7">
        <v>46193</v>
      </c>
      <c r="C22" s="8">
        <v>0</v>
      </c>
      <c r="D22" s="9" t="s">
        <v>13</v>
      </c>
      <c r="E22" s="10" t="s">
        <v>24</v>
      </c>
      <c r="F22" s="25"/>
      <c r="G22" s="25"/>
      <c r="H22" s="21" t="s">
        <v>22</v>
      </c>
    </row>
    <row r="23" spans="1:8" ht="16.2" thickBot="1" x14ac:dyDescent="0.35">
      <c r="A23" s="97"/>
      <c r="B23" s="7">
        <v>46193</v>
      </c>
      <c r="C23" s="8">
        <v>0.10416666666666667</v>
      </c>
      <c r="D23" s="9" t="s">
        <v>13</v>
      </c>
      <c r="E23" s="10" t="s">
        <v>21</v>
      </c>
      <c r="F23" s="25"/>
      <c r="G23" s="25"/>
      <c r="H23" s="21" t="s">
        <v>23</v>
      </c>
    </row>
    <row r="24" spans="1:8" ht="16.2" thickBot="1" x14ac:dyDescent="0.35">
      <c r="A24" s="97"/>
      <c r="B24" s="7">
        <v>46198</v>
      </c>
      <c r="C24" s="8">
        <v>0</v>
      </c>
      <c r="D24" s="9" t="s">
        <v>14</v>
      </c>
      <c r="E24" s="10" t="s">
        <v>24</v>
      </c>
      <c r="F24" s="25"/>
      <c r="G24" s="25"/>
      <c r="H24" s="21" t="s">
        <v>21</v>
      </c>
    </row>
    <row r="25" spans="1:8" ht="16.2" thickBot="1" x14ac:dyDescent="0.35">
      <c r="A25" s="98"/>
      <c r="B25" s="12">
        <v>46198</v>
      </c>
      <c r="C25" s="13">
        <v>0</v>
      </c>
      <c r="D25" s="14" t="s">
        <v>14</v>
      </c>
      <c r="E25" s="15" t="s">
        <v>22</v>
      </c>
      <c r="F25" s="25"/>
      <c r="G25" s="25"/>
      <c r="H25" s="21" t="s">
        <v>23</v>
      </c>
    </row>
    <row r="26" spans="1:8" ht="16.2" thickBot="1" x14ac:dyDescent="0.35">
      <c r="A26" s="19"/>
      <c r="B26" s="19"/>
      <c r="C26" s="19"/>
      <c r="D26" s="19"/>
      <c r="E26" s="19"/>
      <c r="F26" s="19"/>
      <c r="G26" s="19"/>
      <c r="H26" s="24"/>
    </row>
    <row r="27" spans="1:8" ht="16.2" thickBot="1" x14ac:dyDescent="0.35">
      <c r="A27" s="16"/>
      <c r="B27" s="4" t="s">
        <v>1</v>
      </c>
      <c r="C27" s="4" t="s">
        <v>2</v>
      </c>
      <c r="D27" s="4" t="s">
        <v>3</v>
      </c>
      <c r="E27" s="5" t="s">
        <v>4</v>
      </c>
      <c r="F27" s="6" t="s">
        <v>5</v>
      </c>
      <c r="G27" s="6" t="s">
        <v>5</v>
      </c>
      <c r="H27" s="23" t="s">
        <v>6</v>
      </c>
    </row>
    <row r="28" spans="1:8" ht="16.2" thickBot="1" x14ac:dyDescent="0.35">
      <c r="A28" s="99" t="s">
        <v>25</v>
      </c>
      <c r="B28" s="7">
        <v>46186</v>
      </c>
      <c r="C28" s="8">
        <v>0.125</v>
      </c>
      <c r="D28" s="9" t="s">
        <v>8</v>
      </c>
      <c r="E28" s="27" t="s">
        <v>26</v>
      </c>
      <c r="F28" s="11">
        <v>4</v>
      </c>
      <c r="G28" s="11">
        <v>1</v>
      </c>
      <c r="H28" s="21" t="s">
        <v>27</v>
      </c>
    </row>
    <row r="29" spans="1:8" ht="16.2" thickBot="1" x14ac:dyDescent="0.35">
      <c r="A29" s="100"/>
      <c r="B29" s="7">
        <v>46187</v>
      </c>
      <c r="C29" s="8">
        <v>0.25</v>
      </c>
      <c r="D29" s="9" t="s">
        <v>8</v>
      </c>
      <c r="E29" s="27" t="s">
        <v>28</v>
      </c>
      <c r="F29" s="62">
        <v>2</v>
      </c>
      <c r="G29" s="62">
        <v>0</v>
      </c>
      <c r="H29" s="21" t="s">
        <v>29</v>
      </c>
    </row>
    <row r="30" spans="1:8" ht="16.2" thickBot="1" x14ac:dyDescent="0.35">
      <c r="A30" s="100"/>
      <c r="B30" s="7">
        <v>46192</v>
      </c>
      <c r="C30" s="8">
        <v>0.875</v>
      </c>
      <c r="D30" s="9" t="s">
        <v>13</v>
      </c>
      <c r="E30" s="10" t="s">
        <v>26</v>
      </c>
      <c r="F30" s="25"/>
      <c r="G30" s="25"/>
      <c r="H30" s="21" t="s">
        <v>28</v>
      </c>
    </row>
    <row r="31" spans="1:8" ht="16.2" thickBot="1" x14ac:dyDescent="0.35">
      <c r="A31" s="100"/>
      <c r="B31" s="7">
        <v>46193</v>
      </c>
      <c r="C31" s="8">
        <v>0.20833333333333334</v>
      </c>
      <c r="D31" s="9" t="s">
        <v>13</v>
      </c>
      <c r="E31" s="10" t="s">
        <v>29</v>
      </c>
      <c r="F31" s="25"/>
      <c r="G31" s="25"/>
      <c r="H31" s="21" t="s">
        <v>27</v>
      </c>
    </row>
    <row r="32" spans="1:8" ht="16.2" thickBot="1" x14ac:dyDescent="0.35">
      <c r="A32" s="100"/>
      <c r="B32" s="7">
        <v>46199</v>
      </c>
      <c r="C32" s="8">
        <v>0.16666666666666666</v>
      </c>
      <c r="D32" s="9" t="s">
        <v>14</v>
      </c>
      <c r="E32" s="10" t="s">
        <v>29</v>
      </c>
      <c r="F32" s="25"/>
      <c r="G32" s="25"/>
      <c r="H32" s="21" t="s">
        <v>26</v>
      </c>
    </row>
    <row r="33" spans="1:8" ht="16.2" thickBot="1" x14ac:dyDescent="0.35">
      <c r="A33" s="101"/>
      <c r="B33" s="12">
        <v>46199</v>
      </c>
      <c r="C33" s="13">
        <v>0.16666666666666666</v>
      </c>
      <c r="D33" s="14" t="s">
        <v>14</v>
      </c>
      <c r="E33" s="15" t="s">
        <v>27</v>
      </c>
      <c r="F33" s="25"/>
      <c r="G33" s="25"/>
      <c r="H33" s="21" t="s">
        <v>28</v>
      </c>
    </row>
    <row r="34" spans="1:8" ht="16.2" thickBot="1" x14ac:dyDescent="0.35">
      <c r="A34" s="17"/>
      <c r="B34" s="18"/>
      <c r="C34" s="18"/>
      <c r="D34" s="18"/>
      <c r="E34" s="18"/>
      <c r="F34" s="18"/>
      <c r="G34" s="18"/>
      <c r="H34" s="22"/>
    </row>
    <row r="35" spans="1:8" ht="16.2" thickBot="1" x14ac:dyDescent="0.35">
      <c r="A35" s="16"/>
      <c r="B35" s="4" t="s">
        <v>1</v>
      </c>
      <c r="C35" s="4" t="s">
        <v>2</v>
      </c>
      <c r="D35" s="4" t="s">
        <v>3</v>
      </c>
      <c r="E35" s="5" t="s">
        <v>4</v>
      </c>
      <c r="F35" s="6" t="s">
        <v>5</v>
      </c>
      <c r="G35" s="6" t="s">
        <v>5</v>
      </c>
      <c r="H35" s="23" t="s">
        <v>6</v>
      </c>
    </row>
    <row r="36" spans="1:8" ht="16.2" thickBot="1" x14ac:dyDescent="0.35">
      <c r="A36" s="102" t="s">
        <v>30</v>
      </c>
      <c r="B36" s="7">
        <v>46187</v>
      </c>
      <c r="C36" s="8">
        <v>0.79166666666666663</v>
      </c>
      <c r="D36" s="9" t="s">
        <v>8</v>
      </c>
      <c r="E36" s="27" t="s">
        <v>31</v>
      </c>
      <c r="F36" s="62">
        <v>7</v>
      </c>
      <c r="G36" s="62">
        <v>1</v>
      </c>
      <c r="H36" s="21" t="s">
        <v>32</v>
      </c>
    </row>
    <row r="37" spans="1:8" ht="16.2" thickBot="1" x14ac:dyDescent="0.35">
      <c r="A37" s="103"/>
      <c r="B37" s="7">
        <v>46188</v>
      </c>
      <c r="C37" s="8">
        <v>4.1666666666666664E-2</v>
      </c>
      <c r="D37" s="9" t="s">
        <v>8</v>
      </c>
      <c r="E37" s="10" t="s">
        <v>33</v>
      </c>
      <c r="F37" s="26">
        <v>1</v>
      </c>
      <c r="G37" s="26">
        <v>0</v>
      </c>
      <c r="H37" s="21" t="s">
        <v>34</v>
      </c>
    </row>
    <row r="38" spans="1:8" ht="16.2" thickBot="1" x14ac:dyDescent="0.35">
      <c r="A38" s="103"/>
      <c r="B38" s="7">
        <v>46193</v>
      </c>
      <c r="C38" s="8">
        <v>0.91666666666666663</v>
      </c>
      <c r="D38" s="9" t="s">
        <v>13</v>
      </c>
      <c r="E38" s="10" t="s">
        <v>31</v>
      </c>
      <c r="F38" s="25"/>
      <c r="G38" s="25"/>
      <c r="H38" s="21" t="s">
        <v>33</v>
      </c>
    </row>
    <row r="39" spans="1:8" ht="16.2" thickBot="1" x14ac:dyDescent="0.35">
      <c r="A39" s="103"/>
      <c r="B39" s="7">
        <v>46194</v>
      </c>
      <c r="C39" s="8">
        <v>8.3333333333333329E-2</v>
      </c>
      <c r="D39" s="9" t="s">
        <v>13</v>
      </c>
      <c r="E39" s="10" t="s">
        <v>34</v>
      </c>
      <c r="F39" s="25"/>
      <c r="G39" s="25"/>
      <c r="H39" s="21" t="s">
        <v>32</v>
      </c>
    </row>
    <row r="40" spans="1:8" ht="16.2" thickBot="1" x14ac:dyDescent="0.35">
      <c r="A40" s="103"/>
      <c r="B40" s="7">
        <v>46198</v>
      </c>
      <c r="C40" s="8">
        <v>0.91666666666666663</v>
      </c>
      <c r="D40" s="9" t="s">
        <v>14</v>
      </c>
      <c r="E40" s="10" t="s">
        <v>32</v>
      </c>
      <c r="F40" s="25"/>
      <c r="G40" s="25"/>
      <c r="H40" s="21" t="s">
        <v>33</v>
      </c>
    </row>
    <row r="41" spans="1:8" ht="16.2" thickBot="1" x14ac:dyDescent="0.35">
      <c r="A41" s="104"/>
      <c r="B41" s="12">
        <v>46198</v>
      </c>
      <c r="C41" s="13">
        <v>0.91666666666666663</v>
      </c>
      <c r="D41" s="14" t="s">
        <v>14</v>
      </c>
      <c r="E41" s="15" t="s">
        <v>34</v>
      </c>
      <c r="F41" s="25"/>
      <c r="G41" s="25"/>
      <c r="H41" s="21" t="s">
        <v>31</v>
      </c>
    </row>
    <row r="42" spans="1:8" ht="16.2" thickBot="1" x14ac:dyDescent="0.35">
      <c r="A42" s="17"/>
      <c r="B42" s="18"/>
      <c r="C42" s="18"/>
      <c r="D42" s="18"/>
      <c r="E42" s="18"/>
      <c r="F42" s="18"/>
      <c r="G42" s="18"/>
      <c r="H42" s="22"/>
    </row>
    <row r="43" spans="1:8" ht="16.2" thickBot="1" x14ac:dyDescent="0.35">
      <c r="A43" s="16"/>
      <c r="B43" s="4" t="s">
        <v>1</v>
      </c>
      <c r="C43" s="4" t="s">
        <v>2</v>
      </c>
      <c r="D43" s="4" t="s">
        <v>3</v>
      </c>
      <c r="E43" s="5" t="s">
        <v>4</v>
      </c>
      <c r="F43" s="6" t="s">
        <v>5</v>
      </c>
      <c r="G43" s="6" t="s">
        <v>5</v>
      </c>
      <c r="H43" s="23" t="s">
        <v>6</v>
      </c>
    </row>
    <row r="44" spans="1:8" ht="16.2" thickBot="1" x14ac:dyDescent="0.35">
      <c r="A44" s="72" t="s">
        <v>35</v>
      </c>
      <c r="B44" s="7">
        <v>46187</v>
      </c>
      <c r="C44" s="8">
        <v>0.91666666666666663</v>
      </c>
      <c r="D44" s="9" t="s">
        <v>8</v>
      </c>
      <c r="E44" s="60" t="s">
        <v>36</v>
      </c>
      <c r="F44" s="62">
        <v>2</v>
      </c>
      <c r="G44" s="62">
        <v>2</v>
      </c>
      <c r="H44" s="61" t="s">
        <v>37</v>
      </c>
    </row>
    <row r="45" spans="1:8" ht="16.2" thickBot="1" x14ac:dyDescent="0.35">
      <c r="A45" s="73"/>
      <c r="B45" s="7">
        <v>46188</v>
      </c>
      <c r="C45" s="8">
        <v>0.16666666666666666</v>
      </c>
      <c r="D45" s="9" t="s">
        <v>8</v>
      </c>
      <c r="E45" s="10" t="s">
        <v>38</v>
      </c>
      <c r="F45" s="26">
        <v>5</v>
      </c>
      <c r="G45" s="26">
        <v>1</v>
      </c>
      <c r="H45" s="21" t="s">
        <v>39</v>
      </c>
    </row>
    <row r="46" spans="1:8" ht="16.2" thickBot="1" x14ac:dyDescent="0.35">
      <c r="A46" s="73"/>
      <c r="B46" s="7">
        <v>46193</v>
      </c>
      <c r="C46" s="8">
        <v>0.79166666666666663</v>
      </c>
      <c r="D46" s="9" t="s">
        <v>13</v>
      </c>
      <c r="E46" s="10" t="s">
        <v>36</v>
      </c>
      <c r="F46" s="25"/>
      <c r="G46" s="25"/>
      <c r="H46" s="21" t="s">
        <v>38</v>
      </c>
    </row>
    <row r="47" spans="1:8" ht="16.2" thickBot="1" x14ac:dyDescent="0.35">
      <c r="A47" s="73"/>
      <c r="B47" s="7">
        <v>46194</v>
      </c>
      <c r="C47" s="8">
        <v>0.25</v>
      </c>
      <c r="D47" s="9" t="s">
        <v>13</v>
      </c>
      <c r="E47" s="10" t="s">
        <v>39</v>
      </c>
      <c r="F47" s="25"/>
      <c r="G47" s="25"/>
      <c r="H47" s="21" t="s">
        <v>37</v>
      </c>
    </row>
    <row r="48" spans="1:8" ht="16.2" thickBot="1" x14ac:dyDescent="0.35">
      <c r="A48" s="73"/>
      <c r="B48" s="7">
        <v>46199</v>
      </c>
      <c r="C48" s="8">
        <v>4.1666666666666664E-2</v>
      </c>
      <c r="D48" s="9" t="s">
        <v>14</v>
      </c>
      <c r="E48" s="10" t="s">
        <v>37</v>
      </c>
      <c r="F48" s="25"/>
      <c r="G48" s="25"/>
      <c r="H48" s="21" t="s">
        <v>38</v>
      </c>
    </row>
    <row r="49" spans="1:8" ht="16.2" thickBot="1" x14ac:dyDescent="0.35">
      <c r="A49" s="74"/>
      <c r="B49" s="12">
        <v>46199</v>
      </c>
      <c r="C49" s="13">
        <v>4.1666666666666664E-2</v>
      </c>
      <c r="D49" s="14" t="s">
        <v>14</v>
      </c>
      <c r="E49" s="15" t="s">
        <v>39</v>
      </c>
      <c r="F49" s="25"/>
      <c r="G49" s="25"/>
      <c r="H49" s="21" t="s">
        <v>36</v>
      </c>
    </row>
    <row r="50" spans="1:8" ht="16.2" thickBot="1" x14ac:dyDescent="0.35">
      <c r="A50" s="17"/>
      <c r="B50" s="18"/>
      <c r="C50" s="18"/>
      <c r="D50" s="18"/>
      <c r="E50" s="18"/>
      <c r="F50" s="18"/>
      <c r="G50" s="18"/>
      <c r="H50" s="22"/>
    </row>
    <row r="51" spans="1:8" ht="16.2" thickBot="1" x14ac:dyDescent="0.35">
      <c r="A51" s="16"/>
      <c r="B51" s="4" t="s">
        <v>1</v>
      </c>
      <c r="C51" s="4" t="s">
        <v>2</v>
      </c>
      <c r="D51" s="4" t="s">
        <v>3</v>
      </c>
      <c r="E51" s="5" t="s">
        <v>4</v>
      </c>
      <c r="F51" s="6" t="s">
        <v>5</v>
      </c>
      <c r="G51" s="6" t="s">
        <v>5</v>
      </c>
      <c r="H51" s="23" t="s">
        <v>6</v>
      </c>
    </row>
    <row r="52" spans="1:8" ht="16.2" thickBot="1" x14ac:dyDescent="0.35">
      <c r="A52" s="75" t="s">
        <v>40</v>
      </c>
      <c r="B52" s="7">
        <v>46188</v>
      </c>
      <c r="C52" s="8">
        <v>0.875</v>
      </c>
      <c r="D52" s="9" t="s">
        <v>8</v>
      </c>
      <c r="E52" s="10" t="s">
        <v>41</v>
      </c>
      <c r="F52" s="26"/>
      <c r="G52" s="26"/>
      <c r="H52" s="21" t="s">
        <v>42</v>
      </c>
    </row>
    <row r="53" spans="1:8" ht="16.2" thickBot="1" x14ac:dyDescent="0.35">
      <c r="A53" s="76"/>
      <c r="B53" s="7">
        <v>46189</v>
      </c>
      <c r="C53" s="8">
        <v>0.125</v>
      </c>
      <c r="D53" s="9" t="s">
        <v>8</v>
      </c>
      <c r="E53" s="10" t="s">
        <v>43</v>
      </c>
      <c r="F53" s="26"/>
      <c r="G53" s="26"/>
      <c r="H53" s="21" t="s">
        <v>44</v>
      </c>
    </row>
    <row r="54" spans="1:8" ht="16.2" thickBot="1" x14ac:dyDescent="0.35">
      <c r="A54" s="76"/>
      <c r="B54" s="7">
        <v>46194</v>
      </c>
      <c r="C54" s="8">
        <v>0.875</v>
      </c>
      <c r="D54" s="9" t="s">
        <v>13</v>
      </c>
      <c r="E54" s="10" t="s">
        <v>41</v>
      </c>
      <c r="F54" s="25"/>
      <c r="G54" s="25"/>
      <c r="H54" s="21" t="s">
        <v>43</v>
      </c>
    </row>
    <row r="55" spans="1:8" ht="16.2" thickBot="1" x14ac:dyDescent="0.35">
      <c r="A55" s="76"/>
      <c r="B55" s="7">
        <v>46195</v>
      </c>
      <c r="C55" s="8">
        <v>0.125</v>
      </c>
      <c r="D55" s="9" t="s">
        <v>13</v>
      </c>
      <c r="E55" s="10" t="s">
        <v>44</v>
      </c>
      <c r="F55" s="25"/>
      <c r="G55" s="25"/>
      <c r="H55" s="21" t="s">
        <v>42</v>
      </c>
    </row>
    <row r="56" spans="1:8" ht="16.2" thickBot="1" x14ac:dyDescent="0.35">
      <c r="A56" s="76"/>
      <c r="B56" s="7">
        <v>46200</v>
      </c>
      <c r="C56" s="8">
        <v>0.20833333333333334</v>
      </c>
      <c r="D56" s="9" t="s">
        <v>14</v>
      </c>
      <c r="E56" s="10" t="s">
        <v>42</v>
      </c>
      <c r="F56" s="25"/>
      <c r="G56" s="25"/>
      <c r="H56" s="21" t="s">
        <v>43</v>
      </c>
    </row>
    <row r="57" spans="1:8" ht="16.2" thickBot="1" x14ac:dyDescent="0.35">
      <c r="A57" s="77"/>
      <c r="B57" s="12">
        <v>46200</v>
      </c>
      <c r="C57" s="13">
        <v>0.20833333333333334</v>
      </c>
      <c r="D57" s="14" t="s">
        <v>14</v>
      </c>
      <c r="E57" s="15" t="s">
        <v>44</v>
      </c>
      <c r="F57" s="25"/>
      <c r="G57" s="25"/>
      <c r="H57" s="21" t="s">
        <v>41</v>
      </c>
    </row>
    <row r="58" spans="1:8" ht="16.2" thickBot="1" x14ac:dyDescent="0.35">
      <c r="A58" s="17"/>
      <c r="B58" s="18"/>
      <c r="C58" s="18"/>
      <c r="D58" s="18"/>
      <c r="E58" s="18"/>
      <c r="F58" s="18"/>
      <c r="G58" s="18"/>
      <c r="H58" s="22"/>
    </row>
    <row r="59" spans="1:8" ht="16.2" thickBot="1" x14ac:dyDescent="0.35">
      <c r="A59" s="16"/>
      <c r="B59" s="4" t="s">
        <v>1</v>
      </c>
      <c r="C59" s="4" t="s">
        <v>2</v>
      </c>
      <c r="D59" s="4" t="s">
        <v>3</v>
      </c>
      <c r="E59" s="5" t="s">
        <v>4</v>
      </c>
      <c r="F59" s="6" t="s">
        <v>5</v>
      </c>
      <c r="G59" s="6" t="s">
        <v>5</v>
      </c>
      <c r="H59" s="23" t="s">
        <v>6</v>
      </c>
    </row>
    <row r="60" spans="1:8" ht="16.2" thickBot="1" x14ac:dyDescent="0.35">
      <c r="A60" s="78" t="s">
        <v>45</v>
      </c>
      <c r="B60" s="7">
        <v>46188</v>
      </c>
      <c r="C60" s="8">
        <v>0.75</v>
      </c>
      <c r="D60" s="9" t="s">
        <v>8</v>
      </c>
      <c r="E60" s="10" t="s">
        <v>46</v>
      </c>
      <c r="F60" s="26"/>
      <c r="G60" s="26"/>
      <c r="H60" s="21" t="s">
        <v>47</v>
      </c>
    </row>
    <row r="61" spans="1:8" ht="16.2" thickBot="1" x14ac:dyDescent="0.35">
      <c r="A61" s="79"/>
      <c r="B61" s="7">
        <v>46189</v>
      </c>
      <c r="C61" s="8">
        <v>0</v>
      </c>
      <c r="D61" s="9" t="s">
        <v>8</v>
      </c>
      <c r="E61" s="10" t="s">
        <v>48</v>
      </c>
      <c r="F61" s="26"/>
      <c r="G61" s="26"/>
      <c r="H61" s="21" t="s">
        <v>49</v>
      </c>
    </row>
    <row r="62" spans="1:8" ht="16.2" thickBot="1" x14ac:dyDescent="0.35">
      <c r="A62" s="79"/>
      <c r="B62" s="7">
        <v>46194</v>
      </c>
      <c r="C62" s="8">
        <v>0.75</v>
      </c>
      <c r="D62" s="9" t="s">
        <v>13</v>
      </c>
      <c r="E62" s="10" t="s">
        <v>46</v>
      </c>
      <c r="F62" s="25"/>
      <c r="G62" s="25"/>
      <c r="H62" s="21" t="s">
        <v>48</v>
      </c>
    </row>
    <row r="63" spans="1:8" ht="16.2" thickBot="1" x14ac:dyDescent="0.35">
      <c r="A63" s="79"/>
      <c r="B63" s="7">
        <v>46195</v>
      </c>
      <c r="C63" s="8">
        <v>0</v>
      </c>
      <c r="D63" s="9" t="s">
        <v>13</v>
      </c>
      <c r="E63" s="10" t="s">
        <v>49</v>
      </c>
      <c r="F63" s="25"/>
      <c r="G63" s="25"/>
      <c r="H63" s="21" t="s">
        <v>47</v>
      </c>
    </row>
    <row r="64" spans="1:8" ht="16.2" thickBot="1" x14ac:dyDescent="0.35">
      <c r="A64" s="79"/>
      <c r="B64" s="7">
        <v>46200</v>
      </c>
      <c r="C64" s="8">
        <v>8.3333333333333329E-2</v>
      </c>
      <c r="D64" s="9" t="s">
        <v>14</v>
      </c>
      <c r="E64" s="10" t="s">
        <v>47</v>
      </c>
      <c r="F64" s="25"/>
      <c r="G64" s="25"/>
      <c r="H64" s="21" t="s">
        <v>48</v>
      </c>
    </row>
    <row r="65" spans="1:8" ht="16.2" thickBot="1" x14ac:dyDescent="0.35">
      <c r="A65" s="80"/>
      <c r="B65" s="12">
        <v>46200</v>
      </c>
      <c r="C65" s="13">
        <v>8.3333333333333329E-2</v>
      </c>
      <c r="D65" s="14" t="s">
        <v>14</v>
      </c>
      <c r="E65" s="15" t="s">
        <v>49</v>
      </c>
      <c r="F65" s="25"/>
      <c r="G65" s="25"/>
      <c r="H65" s="21" t="s">
        <v>46</v>
      </c>
    </row>
    <row r="66" spans="1:8" ht="16.2" thickBot="1" x14ac:dyDescent="0.35">
      <c r="A66" s="17"/>
      <c r="B66" s="18"/>
      <c r="C66" s="18"/>
      <c r="D66" s="18"/>
      <c r="E66" s="18"/>
      <c r="F66" s="18"/>
      <c r="G66" s="18"/>
      <c r="H66" s="22"/>
    </row>
    <row r="67" spans="1:8" ht="16.2" thickBot="1" x14ac:dyDescent="0.35">
      <c r="A67" s="16"/>
      <c r="B67" s="4" t="s">
        <v>1</v>
      </c>
      <c r="C67" s="4" t="s">
        <v>2</v>
      </c>
      <c r="D67" s="4" t="s">
        <v>3</v>
      </c>
      <c r="E67" s="5" t="s">
        <v>4</v>
      </c>
      <c r="F67" s="6" t="s">
        <v>5</v>
      </c>
      <c r="G67" s="6" t="s">
        <v>5</v>
      </c>
      <c r="H67" s="23" t="s">
        <v>6</v>
      </c>
    </row>
    <row r="68" spans="1:8" ht="16.2" thickBot="1" x14ac:dyDescent="0.35">
      <c r="A68" s="81" t="s">
        <v>50</v>
      </c>
      <c r="B68" s="7">
        <v>46189</v>
      </c>
      <c r="C68" s="8">
        <v>0.875</v>
      </c>
      <c r="D68" s="9" t="s">
        <v>8</v>
      </c>
      <c r="E68" s="10" t="s">
        <v>51</v>
      </c>
      <c r="F68" s="26"/>
      <c r="G68" s="26"/>
      <c r="H68" s="21" t="s">
        <v>52</v>
      </c>
    </row>
    <row r="69" spans="1:8" ht="16.2" thickBot="1" x14ac:dyDescent="0.35">
      <c r="A69" s="82"/>
      <c r="B69" s="7">
        <v>46190</v>
      </c>
      <c r="C69" s="8">
        <v>0</v>
      </c>
      <c r="D69" s="9" t="s">
        <v>8</v>
      </c>
      <c r="E69" s="10" t="s">
        <v>53</v>
      </c>
      <c r="F69" s="26"/>
      <c r="G69" s="26"/>
      <c r="H69" s="21" t="s">
        <v>54</v>
      </c>
    </row>
    <row r="70" spans="1:8" ht="16.2" thickBot="1" x14ac:dyDescent="0.35">
      <c r="A70" s="82"/>
      <c r="B70" s="7">
        <v>46195</v>
      </c>
      <c r="C70" s="8">
        <v>0.95833333333333337</v>
      </c>
      <c r="D70" s="9" t="s">
        <v>13</v>
      </c>
      <c r="E70" s="10" t="s">
        <v>51</v>
      </c>
      <c r="F70" s="25"/>
      <c r="G70" s="25"/>
      <c r="H70" s="21" t="s">
        <v>53</v>
      </c>
    </row>
    <row r="71" spans="1:8" ht="16.2" thickBot="1" x14ac:dyDescent="0.35">
      <c r="A71" s="82"/>
      <c r="B71" s="7">
        <v>46196</v>
      </c>
      <c r="C71" s="8">
        <v>8.3333333333333329E-2</v>
      </c>
      <c r="D71" s="9" t="s">
        <v>13</v>
      </c>
      <c r="E71" s="10" t="s">
        <v>54</v>
      </c>
      <c r="F71" s="25"/>
      <c r="G71" s="25"/>
      <c r="H71" s="21" t="s">
        <v>52</v>
      </c>
    </row>
    <row r="72" spans="1:8" ht="16.2" thickBot="1" x14ac:dyDescent="0.35">
      <c r="A72" s="82"/>
      <c r="B72" s="7">
        <v>46199</v>
      </c>
      <c r="C72" s="8">
        <v>0.875</v>
      </c>
      <c r="D72" s="9" t="s">
        <v>14</v>
      </c>
      <c r="E72" s="10" t="s">
        <v>54</v>
      </c>
      <c r="F72" s="25"/>
      <c r="G72" s="25"/>
      <c r="H72" s="21" t="s">
        <v>51</v>
      </c>
    </row>
    <row r="73" spans="1:8" ht="16.2" thickBot="1" x14ac:dyDescent="0.35">
      <c r="A73" s="83"/>
      <c r="B73" s="12">
        <v>46199</v>
      </c>
      <c r="C73" s="13">
        <v>0.875</v>
      </c>
      <c r="D73" s="14" t="s">
        <v>14</v>
      </c>
      <c r="E73" s="15" t="s">
        <v>52</v>
      </c>
      <c r="F73" s="25"/>
      <c r="G73" s="25"/>
      <c r="H73" s="21" t="s">
        <v>53</v>
      </c>
    </row>
    <row r="74" spans="1:8" ht="16.2" thickBot="1" x14ac:dyDescent="0.35">
      <c r="A74" s="17"/>
      <c r="B74" s="18"/>
      <c r="C74" s="18"/>
      <c r="D74" s="18"/>
      <c r="E74" s="18"/>
      <c r="F74" s="18"/>
      <c r="G74" s="18"/>
      <c r="H74" s="22"/>
    </row>
    <row r="75" spans="1:8" ht="16.2" thickBot="1" x14ac:dyDescent="0.35">
      <c r="A75" s="16"/>
      <c r="B75" s="4" t="s">
        <v>1</v>
      </c>
      <c r="C75" s="4" t="s">
        <v>2</v>
      </c>
      <c r="D75" s="4" t="s">
        <v>3</v>
      </c>
      <c r="E75" s="5" t="s">
        <v>4</v>
      </c>
      <c r="F75" s="6" t="s">
        <v>5</v>
      </c>
      <c r="G75" s="6" t="s">
        <v>5</v>
      </c>
      <c r="H75" s="23" t="s">
        <v>6</v>
      </c>
    </row>
    <row r="76" spans="1:8" ht="16.2" thickBot="1" x14ac:dyDescent="0.35">
      <c r="A76" s="84" t="s">
        <v>55</v>
      </c>
      <c r="B76" s="7">
        <v>46190</v>
      </c>
      <c r="C76" s="8">
        <v>0.125</v>
      </c>
      <c r="D76" s="9" t="s">
        <v>8</v>
      </c>
      <c r="E76" s="10" t="s">
        <v>56</v>
      </c>
      <c r="F76" s="26"/>
      <c r="G76" s="26"/>
      <c r="H76" s="21" t="s">
        <v>57</v>
      </c>
    </row>
    <row r="77" spans="1:8" ht="16.2" thickBot="1" x14ac:dyDescent="0.35">
      <c r="A77" s="85"/>
      <c r="B77" s="7">
        <v>46190</v>
      </c>
      <c r="C77" s="8">
        <v>0.25</v>
      </c>
      <c r="D77" s="9" t="s">
        <v>8</v>
      </c>
      <c r="E77" s="10" t="s">
        <v>58</v>
      </c>
      <c r="F77" s="26"/>
      <c r="G77" s="26"/>
      <c r="H77" s="21" t="s">
        <v>59</v>
      </c>
    </row>
    <row r="78" spans="1:8" ht="16.2" thickBot="1" x14ac:dyDescent="0.35">
      <c r="A78" s="85"/>
      <c r="B78" s="7">
        <v>46195</v>
      </c>
      <c r="C78" s="8">
        <v>0.79166666666666663</v>
      </c>
      <c r="D78" s="9" t="s">
        <v>13</v>
      </c>
      <c r="E78" s="10" t="s">
        <v>56</v>
      </c>
      <c r="F78" s="25"/>
      <c r="G78" s="25"/>
      <c r="H78" s="21" t="s">
        <v>58</v>
      </c>
    </row>
    <row r="79" spans="1:8" ht="16.2" thickBot="1" x14ac:dyDescent="0.35">
      <c r="A79" s="85"/>
      <c r="B79" s="7">
        <v>46196</v>
      </c>
      <c r="C79" s="8">
        <v>0.20833333333333334</v>
      </c>
      <c r="D79" s="9" t="s">
        <v>13</v>
      </c>
      <c r="E79" s="10" t="s">
        <v>59</v>
      </c>
      <c r="F79" s="25"/>
      <c r="G79" s="25"/>
      <c r="H79" s="21" t="s">
        <v>57</v>
      </c>
    </row>
    <row r="80" spans="1:8" ht="16.2" thickBot="1" x14ac:dyDescent="0.35">
      <c r="A80" s="85"/>
      <c r="B80" s="7">
        <v>46201</v>
      </c>
      <c r="C80" s="8">
        <v>0.16666666666666666</v>
      </c>
      <c r="D80" s="9" t="s">
        <v>14</v>
      </c>
      <c r="E80" s="10" t="s">
        <v>57</v>
      </c>
      <c r="F80" s="25"/>
      <c r="G80" s="25"/>
      <c r="H80" s="21" t="s">
        <v>58</v>
      </c>
    </row>
    <row r="81" spans="1:8" ht="16.2" thickBot="1" x14ac:dyDescent="0.35">
      <c r="A81" s="86"/>
      <c r="B81" s="12">
        <v>46201</v>
      </c>
      <c r="C81" s="13">
        <v>0.16666666666666666</v>
      </c>
      <c r="D81" s="14" t="s">
        <v>14</v>
      </c>
      <c r="E81" s="15" t="s">
        <v>59</v>
      </c>
      <c r="F81" s="25"/>
      <c r="G81" s="25"/>
      <c r="H81" s="21" t="s">
        <v>56</v>
      </c>
    </row>
    <row r="82" spans="1:8" ht="14.4" customHeight="1" thickBot="1" x14ac:dyDescent="0.35">
      <c r="A82" s="19"/>
      <c r="B82" s="19"/>
      <c r="C82" s="19"/>
      <c r="D82" s="19"/>
      <c r="E82" s="19"/>
      <c r="F82" s="19"/>
      <c r="G82" s="19"/>
      <c r="H82" s="24"/>
    </row>
    <row r="83" spans="1:8" ht="16.2" thickBot="1" x14ac:dyDescent="0.35">
      <c r="A83" s="16"/>
      <c r="B83" s="4" t="s">
        <v>1</v>
      </c>
      <c r="C83" s="4" t="s">
        <v>2</v>
      </c>
      <c r="D83" s="4" t="s">
        <v>3</v>
      </c>
      <c r="E83" s="5" t="s">
        <v>4</v>
      </c>
      <c r="F83" s="6" t="s">
        <v>5</v>
      </c>
      <c r="G83" s="6" t="s">
        <v>5</v>
      </c>
      <c r="H83" s="23" t="s">
        <v>6</v>
      </c>
    </row>
    <row r="84" spans="1:8" ht="16.2" thickBot="1" x14ac:dyDescent="0.35">
      <c r="A84" s="87" t="s">
        <v>60</v>
      </c>
      <c r="B84" s="7">
        <v>46190</v>
      </c>
      <c r="C84" s="8">
        <v>0.79166666666666663</v>
      </c>
      <c r="D84" s="9" t="s">
        <v>8</v>
      </c>
      <c r="E84" s="10" t="s">
        <v>61</v>
      </c>
      <c r="F84" s="26"/>
      <c r="G84" s="26"/>
      <c r="H84" s="21" t="s">
        <v>62</v>
      </c>
    </row>
    <row r="85" spans="1:8" ht="16.2" thickBot="1" x14ac:dyDescent="0.35">
      <c r="A85" s="88"/>
      <c r="B85" s="7">
        <v>46191</v>
      </c>
      <c r="C85" s="8">
        <v>0.16666666666666666</v>
      </c>
      <c r="D85" s="9" t="s">
        <v>8</v>
      </c>
      <c r="E85" s="10" t="s">
        <v>63</v>
      </c>
      <c r="F85" s="26"/>
      <c r="G85" s="26"/>
      <c r="H85" s="21" t="s">
        <v>64</v>
      </c>
    </row>
    <row r="86" spans="1:8" ht="16.2" thickBot="1" x14ac:dyDescent="0.35">
      <c r="A86" s="88"/>
      <c r="B86" s="7">
        <v>46196</v>
      </c>
      <c r="C86" s="8">
        <v>0.79166666666666663</v>
      </c>
      <c r="D86" s="9" t="s">
        <v>13</v>
      </c>
      <c r="E86" s="10" t="s">
        <v>61</v>
      </c>
      <c r="F86" s="25"/>
      <c r="G86" s="25"/>
      <c r="H86" s="21" t="s">
        <v>63</v>
      </c>
    </row>
    <row r="87" spans="1:8" ht="16.2" thickBot="1" x14ac:dyDescent="0.35">
      <c r="A87" s="88"/>
      <c r="B87" s="7">
        <v>46197</v>
      </c>
      <c r="C87" s="8">
        <v>0.16666666666666666</v>
      </c>
      <c r="D87" s="9" t="s">
        <v>13</v>
      </c>
      <c r="E87" s="10" t="s">
        <v>64</v>
      </c>
      <c r="F87" s="25"/>
      <c r="G87" s="25"/>
      <c r="H87" s="21" t="s">
        <v>62</v>
      </c>
    </row>
    <row r="88" spans="1:8" ht="16.2" thickBot="1" x14ac:dyDescent="0.35">
      <c r="A88" s="88"/>
      <c r="B88" s="7">
        <v>46201</v>
      </c>
      <c r="C88" s="8">
        <v>6.25E-2</v>
      </c>
      <c r="D88" s="9" t="s">
        <v>14</v>
      </c>
      <c r="E88" s="10" t="s">
        <v>64</v>
      </c>
      <c r="F88" s="25"/>
      <c r="G88" s="25"/>
      <c r="H88" s="21" t="s">
        <v>61</v>
      </c>
    </row>
    <row r="89" spans="1:8" ht="16.2" thickBot="1" x14ac:dyDescent="0.35">
      <c r="A89" s="89"/>
      <c r="B89" s="12">
        <v>46201</v>
      </c>
      <c r="C89" s="13">
        <v>6.25E-2</v>
      </c>
      <c r="D89" s="14" t="s">
        <v>14</v>
      </c>
      <c r="E89" s="15" t="s">
        <v>62</v>
      </c>
      <c r="F89" s="25"/>
      <c r="G89" s="25"/>
      <c r="H89" s="21" t="s">
        <v>63</v>
      </c>
    </row>
    <row r="90" spans="1:8" ht="16.2" thickBot="1" x14ac:dyDescent="0.35">
      <c r="A90" s="17"/>
      <c r="B90" s="18"/>
      <c r="C90" s="18"/>
      <c r="D90" s="18"/>
      <c r="E90" s="18"/>
      <c r="F90" s="18"/>
      <c r="G90" s="18"/>
      <c r="H90" s="22"/>
    </row>
    <row r="91" spans="1:8" ht="16.2" thickBot="1" x14ac:dyDescent="0.35">
      <c r="A91" s="16"/>
      <c r="B91" s="4" t="s">
        <v>1</v>
      </c>
      <c r="C91" s="4" t="s">
        <v>2</v>
      </c>
      <c r="D91" s="4" t="s">
        <v>3</v>
      </c>
      <c r="E91" s="5" t="s">
        <v>4</v>
      </c>
      <c r="F91" s="6" t="s">
        <v>5</v>
      </c>
      <c r="G91" s="6" t="s">
        <v>5</v>
      </c>
      <c r="H91" s="23" t="s">
        <v>6</v>
      </c>
    </row>
    <row r="92" spans="1:8" ht="16.2" thickBot="1" x14ac:dyDescent="0.35">
      <c r="A92" s="69" t="s">
        <v>65</v>
      </c>
      <c r="B92" s="7">
        <v>46190</v>
      </c>
      <c r="C92" s="8">
        <v>0.91666666666666663</v>
      </c>
      <c r="D92" s="9" t="s">
        <v>8</v>
      </c>
      <c r="E92" s="10" t="s">
        <v>66</v>
      </c>
      <c r="F92" s="26"/>
      <c r="G92" s="26"/>
      <c r="H92" s="21" t="s">
        <v>67</v>
      </c>
    </row>
    <row r="93" spans="1:8" ht="16.2" thickBot="1" x14ac:dyDescent="0.35">
      <c r="A93" s="70"/>
      <c r="B93" s="7">
        <v>46191</v>
      </c>
      <c r="C93" s="8">
        <v>4.1666666666666664E-2</v>
      </c>
      <c r="D93" s="9" t="s">
        <v>8</v>
      </c>
      <c r="E93" s="10" t="s">
        <v>68</v>
      </c>
      <c r="F93" s="26"/>
      <c r="G93" s="26"/>
      <c r="H93" s="21" t="s">
        <v>69</v>
      </c>
    </row>
    <row r="94" spans="1:8" ht="16.2" thickBot="1" x14ac:dyDescent="0.35">
      <c r="A94" s="70"/>
      <c r="B94" s="7">
        <v>46196</v>
      </c>
      <c r="C94" s="8">
        <v>0.91666666666666663</v>
      </c>
      <c r="D94" s="9" t="s">
        <v>13</v>
      </c>
      <c r="E94" s="10" t="s">
        <v>66</v>
      </c>
      <c r="F94" s="25"/>
      <c r="G94" s="25"/>
      <c r="H94" s="21" t="s">
        <v>68</v>
      </c>
    </row>
    <row r="95" spans="1:8" ht="16.2" thickBot="1" x14ac:dyDescent="0.35">
      <c r="A95" s="70"/>
      <c r="B95" s="7">
        <v>46197</v>
      </c>
      <c r="C95" s="8">
        <v>4.1666666666666664E-2</v>
      </c>
      <c r="D95" s="9" t="s">
        <v>13</v>
      </c>
      <c r="E95" s="10" t="s">
        <v>69</v>
      </c>
      <c r="F95" s="25"/>
      <c r="G95" s="25"/>
      <c r="H95" s="21" t="s">
        <v>67</v>
      </c>
    </row>
    <row r="96" spans="1:8" ht="16.2" thickBot="1" x14ac:dyDescent="0.35">
      <c r="A96" s="70"/>
      <c r="B96" s="7">
        <v>46200</v>
      </c>
      <c r="C96" s="8">
        <v>0.95833333333333337</v>
      </c>
      <c r="D96" s="9" t="s">
        <v>14</v>
      </c>
      <c r="E96" s="10" t="s">
        <v>69</v>
      </c>
      <c r="F96" s="25"/>
      <c r="G96" s="25"/>
      <c r="H96" s="21" t="s">
        <v>66</v>
      </c>
    </row>
    <row r="97" spans="1:8" ht="16.2" thickBot="1" x14ac:dyDescent="0.35">
      <c r="A97" s="71"/>
      <c r="B97" s="12">
        <v>46200</v>
      </c>
      <c r="C97" s="13">
        <v>0.95833333333333337</v>
      </c>
      <c r="D97" s="14" t="s">
        <v>14</v>
      </c>
      <c r="E97" s="15" t="s">
        <v>67</v>
      </c>
      <c r="F97" s="25"/>
      <c r="G97" s="25"/>
      <c r="H97" s="21" t="s">
        <v>68</v>
      </c>
    </row>
  </sheetData>
  <mergeCells count="14">
    <mergeCell ref="A1:H1"/>
    <mergeCell ref="A2:H2"/>
    <mergeCell ref="A92:A97"/>
    <mergeCell ref="A44:A49"/>
    <mergeCell ref="A52:A57"/>
    <mergeCell ref="A60:A65"/>
    <mergeCell ref="A68:A73"/>
    <mergeCell ref="A76:A81"/>
    <mergeCell ref="A84:A89"/>
    <mergeCell ref="A4:A9"/>
    <mergeCell ref="A12:A17"/>
    <mergeCell ref="A20:A25"/>
    <mergeCell ref="A28:A33"/>
    <mergeCell ref="A36:A41"/>
  </mergeCells>
  <pageMargins left="0.59055118110236227" right="0.59055118110236227" top="0.59055118110236227" bottom="0.59055118110236227" header="0.59055118110236227" footer="0.5905511811023622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DA8AE-D289-4C5E-B67D-78206DAF9204}">
  <dimension ref="A1:F13"/>
  <sheetViews>
    <sheetView tabSelected="1" zoomScale="131" workbookViewId="0">
      <selection activeCell="G14" sqref="G14"/>
    </sheetView>
  </sheetViews>
  <sheetFormatPr baseColWidth="10" defaultRowHeight="15.6" x14ac:dyDescent="0.3"/>
  <cols>
    <col min="1" max="1" width="10.44140625" style="28" customWidth="1"/>
    <col min="2" max="3" width="11.5546875" style="28" customWidth="1"/>
    <col min="4" max="4" width="10.44140625" style="28" bestFit="1" customWidth="1"/>
    <col min="5" max="5" width="9.5546875" style="28" bestFit="1" customWidth="1"/>
    <col min="6" max="6" width="8.6640625" style="28" bestFit="1" customWidth="1"/>
    <col min="7" max="16384" width="11.5546875" style="28"/>
  </cols>
  <sheetData>
    <row r="1" spans="1:6" x14ac:dyDescent="0.3">
      <c r="D1" s="105" t="s">
        <v>74</v>
      </c>
      <c r="E1" s="106"/>
      <c r="F1" s="107"/>
    </row>
    <row r="2" spans="1:6" x14ac:dyDescent="0.3">
      <c r="D2" s="108" t="s">
        <v>75</v>
      </c>
      <c r="E2" s="109"/>
      <c r="F2" s="110"/>
    </row>
    <row r="4" spans="1:6" s="29" customFormat="1" x14ac:dyDescent="0.3">
      <c r="A4" s="57" t="s">
        <v>72</v>
      </c>
      <c r="B4" s="57" t="s">
        <v>71</v>
      </c>
      <c r="D4" s="29" t="s">
        <v>70</v>
      </c>
      <c r="E4" s="29" t="s">
        <v>72</v>
      </c>
      <c r="F4" s="29" t="s">
        <v>71</v>
      </c>
    </row>
    <row r="5" spans="1:6" x14ac:dyDescent="0.3">
      <c r="A5" s="58" t="s">
        <v>76</v>
      </c>
      <c r="B5" s="58">
        <f>Cindy!L4</f>
        <v>3</v>
      </c>
      <c r="D5" s="59">
        <v>1</v>
      </c>
      <c r="E5" s="59" t="str" cm="1">
        <f t="array" ref="E5:F13">_xlfn._xlws.SORT(A5:B13,2,-1)</f>
        <v>Lennon</v>
      </c>
      <c r="F5" s="59">
        <v>6</v>
      </c>
    </row>
    <row r="6" spans="1:6" x14ac:dyDescent="0.3">
      <c r="A6" s="58" t="s">
        <v>77</v>
      </c>
      <c r="B6" s="58">
        <f>Wendy!L4</f>
        <v>4</v>
      </c>
      <c r="D6" s="55">
        <v>2</v>
      </c>
      <c r="E6" s="55" t="str">
        <v>Bere</v>
      </c>
      <c r="F6" s="55">
        <v>5</v>
      </c>
    </row>
    <row r="7" spans="1:6" x14ac:dyDescent="0.3">
      <c r="A7" s="58" t="s">
        <v>79</v>
      </c>
      <c r="B7" s="58">
        <f>Jimmy!L4</f>
        <v>4</v>
      </c>
      <c r="D7" s="56">
        <v>3</v>
      </c>
      <c r="E7" s="56" t="str">
        <v>Wendy</v>
      </c>
      <c r="F7" s="56">
        <v>4</v>
      </c>
    </row>
    <row r="8" spans="1:6" x14ac:dyDescent="0.3">
      <c r="A8" s="58" t="s">
        <v>81</v>
      </c>
      <c r="B8" s="58">
        <f>Erick!L4</f>
        <v>4</v>
      </c>
      <c r="D8" s="28">
        <v>4</v>
      </c>
      <c r="E8" s="28" t="str">
        <v>Jimmy</v>
      </c>
      <c r="F8" s="28">
        <v>4</v>
      </c>
    </row>
    <row r="9" spans="1:6" x14ac:dyDescent="0.3">
      <c r="A9" s="58" t="s">
        <v>82</v>
      </c>
      <c r="B9" s="58">
        <f>Erik!L4</f>
        <v>4</v>
      </c>
      <c r="D9" s="28">
        <v>5</v>
      </c>
      <c r="E9" s="28" t="str">
        <v>Erick</v>
      </c>
      <c r="F9" s="28">
        <v>4</v>
      </c>
    </row>
    <row r="10" spans="1:6" x14ac:dyDescent="0.3">
      <c r="A10" s="58" t="s">
        <v>83</v>
      </c>
      <c r="B10" s="58">
        <f>Lennon!L4</f>
        <v>6</v>
      </c>
      <c r="D10" s="28">
        <v>6</v>
      </c>
      <c r="E10" s="28" t="str">
        <v>Erik</v>
      </c>
      <c r="F10" s="28">
        <v>4</v>
      </c>
    </row>
    <row r="11" spans="1:6" x14ac:dyDescent="0.3">
      <c r="A11" s="58" t="s">
        <v>84</v>
      </c>
      <c r="B11" s="58">
        <f>Yulian!L4</f>
        <v>3</v>
      </c>
      <c r="D11" s="28">
        <v>7</v>
      </c>
      <c r="E11" s="28" t="str">
        <v>Cindy</v>
      </c>
      <c r="F11" s="28">
        <v>3</v>
      </c>
    </row>
    <row r="12" spans="1:6" x14ac:dyDescent="0.3">
      <c r="A12" s="58" t="s">
        <v>78</v>
      </c>
      <c r="B12" s="58">
        <f>Packy!L4</f>
        <v>3</v>
      </c>
      <c r="D12" s="28">
        <v>8</v>
      </c>
      <c r="E12" s="28" t="str">
        <v>Yulian</v>
      </c>
      <c r="F12" s="28">
        <v>3</v>
      </c>
    </row>
    <row r="13" spans="1:6" x14ac:dyDescent="0.3">
      <c r="A13" s="58" t="s">
        <v>80</v>
      </c>
      <c r="B13" s="58">
        <f>Bere!L4</f>
        <v>5</v>
      </c>
      <c r="D13" s="28">
        <v>9</v>
      </c>
      <c r="E13" s="28" t="str">
        <v>Packy</v>
      </c>
      <c r="F13" s="28">
        <v>3</v>
      </c>
    </row>
  </sheetData>
  <sortState xmlns:xlrd2="http://schemas.microsoft.com/office/spreadsheetml/2017/richdata2" ref="A6:B13">
    <sortCondition descending="1" ref="B5:B13"/>
  </sortState>
  <mergeCells count="2">
    <mergeCell ref="D1:F1"/>
    <mergeCell ref="D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C044-78D9-4050-AE22-A11D6D63515D}">
  <dimension ref="A1:L97"/>
  <sheetViews>
    <sheetView topLeftCell="A11" zoomScaleNormal="100" workbookViewId="0">
      <selection activeCell="F38" sqref="F38"/>
    </sheetView>
  </sheetViews>
  <sheetFormatPr baseColWidth="10" defaultRowHeight="15.6" x14ac:dyDescent="0.3"/>
  <cols>
    <col min="1" max="1" width="2.5546875" style="1" bestFit="1" customWidth="1"/>
    <col min="2" max="2" width="11.21875" style="1" bestFit="1" customWidth="1"/>
    <col min="3" max="3" width="6" style="1" bestFit="1" customWidth="1"/>
    <col min="4" max="4" width="4.5546875" style="1" bestFit="1" customWidth="1"/>
    <col min="5" max="5" width="21.6640625" style="2" bestFit="1" customWidth="1"/>
    <col min="6" max="7" width="4.33203125" style="2" bestFit="1" customWidth="1"/>
    <col min="8" max="8" width="21.6640625" style="1" bestFit="1" customWidth="1"/>
    <col min="9" max="9" width="6.109375" style="1" customWidth="1"/>
    <col min="10" max="10" width="7.77734375" style="1" bestFit="1" customWidth="1"/>
    <col min="11" max="11" width="6.109375" style="1" customWidth="1"/>
    <col min="12" max="16384" width="11.5546875" style="1"/>
  </cols>
  <sheetData>
    <row r="1" spans="1:12" ht="25.8" thickBot="1" x14ac:dyDescent="0.35">
      <c r="A1" s="63" t="s">
        <v>0</v>
      </c>
      <c r="B1" s="64"/>
      <c r="C1" s="64"/>
      <c r="D1" s="64"/>
      <c r="E1" s="64"/>
      <c r="F1" s="64"/>
      <c r="G1" s="64"/>
      <c r="H1" s="65"/>
    </row>
    <row r="2" spans="1:12" ht="16.2" thickBot="1" x14ac:dyDescent="0.35">
      <c r="A2" s="66"/>
      <c r="B2" s="67"/>
      <c r="C2" s="67"/>
      <c r="D2" s="67"/>
      <c r="E2" s="67"/>
      <c r="F2" s="67"/>
      <c r="G2" s="67"/>
      <c r="H2" s="68"/>
    </row>
    <row r="3" spans="1:12" s="2" customFormat="1" ht="16.2" thickBot="1" x14ac:dyDescent="0.35">
      <c r="A3" s="31"/>
      <c r="B3" s="32" t="s">
        <v>1</v>
      </c>
      <c r="C3" s="32" t="s">
        <v>2</v>
      </c>
      <c r="D3" s="32" t="s">
        <v>3</v>
      </c>
      <c r="E3" s="33" t="s">
        <v>85</v>
      </c>
      <c r="F3" s="34" t="s">
        <v>5</v>
      </c>
      <c r="G3" s="34" t="s">
        <v>5</v>
      </c>
      <c r="H3" s="32" t="s">
        <v>86</v>
      </c>
      <c r="J3" s="30" t="s">
        <v>71</v>
      </c>
      <c r="L3" s="2" t="s">
        <v>73</v>
      </c>
    </row>
    <row r="4" spans="1:12" ht="16.2" thickBot="1" x14ac:dyDescent="0.35">
      <c r="A4" s="114" t="s">
        <v>7</v>
      </c>
      <c r="B4" s="35">
        <v>46184</v>
      </c>
      <c r="C4" s="36">
        <v>0.875</v>
      </c>
      <c r="D4" s="37" t="s">
        <v>8</v>
      </c>
      <c r="E4" s="38" t="s">
        <v>9</v>
      </c>
      <c r="F4" s="39">
        <v>2</v>
      </c>
      <c r="G4" s="39">
        <v>0</v>
      </c>
      <c r="H4" s="40" t="s">
        <v>10</v>
      </c>
      <c r="L4" s="1">
        <f>SUM(J:J)</f>
        <v>3</v>
      </c>
    </row>
    <row r="5" spans="1:12" ht="16.2" thickBot="1" x14ac:dyDescent="0.35">
      <c r="A5" s="115"/>
      <c r="B5" s="35">
        <v>46185</v>
      </c>
      <c r="C5" s="36">
        <v>0.16666666666666666</v>
      </c>
      <c r="D5" s="37" t="s">
        <v>8</v>
      </c>
      <c r="E5" s="38" t="s">
        <v>11</v>
      </c>
      <c r="F5" s="39">
        <v>2</v>
      </c>
      <c r="G5" s="39">
        <v>1</v>
      </c>
      <c r="H5" s="40" t="s">
        <v>12</v>
      </c>
    </row>
    <row r="6" spans="1:12" ht="16.2" thickBot="1" x14ac:dyDescent="0.35">
      <c r="A6" s="115"/>
      <c r="B6" s="35">
        <v>46191</v>
      </c>
      <c r="C6" s="36">
        <v>0.75</v>
      </c>
      <c r="D6" s="37" t="s">
        <v>13</v>
      </c>
      <c r="E6" s="38" t="s">
        <v>12</v>
      </c>
      <c r="F6" s="41">
        <v>2</v>
      </c>
      <c r="G6" s="41">
        <v>0</v>
      </c>
      <c r="H6" s="40" t="s">
        <v>10</v>
      </c>
      <c r="J6" s="1" t="str">
        <f>IF(OR(Resultados!F6="",Resultados!G6=""),"",IF(AND(F6=Resultados!F6,G6=Resultados!G6),2,IF(((F6&gt;G6)=(Resultados!F6&gt;Resultados!G6))*((F6&lt;G6)=(Resultados!F6&lt;Resultados!G6)),1,0)))</f>
        <v/>
      </c>
    </row>
    <row r="7" spans="1:12" ht="16.2" thickBot="1" x14ac:dyDescent="0.35">
      <c r="A7" s="115"/>
      <c r="B7" s="35">
        <v>46192</v>
      </c>
      <c r="C7" s="36">
        <v>0.125</v>
      </c>
      <c r="D7" s="37" t="s">
        <v>13</v>
      </c>
      <c r="E7" s="38" t="s">
        <v>9</v>
      </c>
      <c r="F7" s="41">
        <v>2</v>
      </c>
      <c r="G7" s="41">
        <v>1</v>
      </c>
      <c r="H7" s="40" t="s">
        <v>11</v>
      </c>
      <c r="J7" s="1" t="str">
        <f>IF(OR(Resultados!F7="",Resultados!G7=""),"",IF(AND(F7=Resultados!F7,G7=Resultados!G7),2,IF(((F7&gt;G7)=(Resultados!F7&gt;Resultados!G7))*((F7&lt;G7)=(Resultados!F7&lt;Resultados!G7)),1,0)))</f>
        <v/>
      </c>
    </row>
    <row r="8" spans="1:12" ht="16.2" thickBot="1" x14ac:dyDescent="0.35">
      <c r="A8" s="115"/>
      <c r="B8" s="35">
        <v>46198</v>
      </c>
      <c r="C8" s="36">
        <v>0.125</v>
      </c>
      <c r="D8" s="37" t="s">
        <v>14</v>
      </c>
      <c r="E8" s="38" t="s">
        <v>12</v>
      </c>
      <c r="F8" s="41">
        <v>1</v>
      </c>
      <c r="G8" s="41">
        <v>2</v>
      </c>
      <c r="H8" s="40" t="s">
        <v>9</v>
      </c>
      <c r="J8" s="1" t="str">
        <f>IF(OR(Resultados!F8="",Resultados!G8=""),"",IF(AND(F8=Resultados!F8,G8=Resultados!G8),2,IF(((F8&gt;G8)=(Resultados!F8&gt;Resultados!G8))*((F8&lt;G8)=(Resultados!F8&lt;Resultados!G8)),1,0)))</f>
        <v/>
      </c>
    </row>
    <row r="9" spans="1:12" ht="16.2" thickBot="1" x14ac:dyDescent="0.35">
      <c r="A9" s="116"/>
      <c r="B9" s="42">
        <v>46198</v>
      </c>
      <c r="C9" s="43">
        <v>0.125</v>
      </c>
      <c r="D9" s="44" t="s">
        <v>14</v>
      </c>
      <c r="E9" s="45" t="s">
        <v>10</v>
      </c>
      <c r="F9" s="41">
        <v>1</v>
      </c>
      <c r="G9" s="41">
        <v>2</v>
      </c>
      <c r="H9" s="46" t="s">
        <v>11</v>
      </c>
      <c r="J9" s="1" t="str">
        <f>IF(OR(Resultados!F9="",Resultados!G9=""),"",IF(AND(F9=Resultados!F9,G9=Resultados!G9),2,IF(((F9&gt;G9)=(Resultados!F9&gt;Resultados!G9))*((F9&lt;G9)=(Resultados!F9&lt;Resultados!G9)),1,0)))</f>
        <v/>
      </c>
    </row>
    <row r="10" spans="1:12" ht="16.2" thickBot="1" x14ac:dyDescent="0.35">
      <c r="A10" s="47"/>
      <c r="B10" s="48"/>
      <c r="C10" s="48"/>
      <c r="D10" s="48"/>
      <c r="E10" s="48"/>
      <c r="F10" s="48"/>
      <c r="G10" s="48"/>
      <c r="H10" s="49"/>
    </row>
    <row r="11" spans="1:12" ht="16.2" thickBot="1" x14ac:dyDescent="0.35">
      <c r="A11" s="50"/>
      <c r="B11" s="32" t="s">
        <v>1</v>
      </c>
      <c r="C11" s="32" t="s">
        <v>2</v>
      </c>
      <c r="D11" s="32" t="s">
        <v>3</v>
      </c>
      <c r="E11" s="33" t="s">
        <v>85</v>
      </c>
      <c r="F11" s="34" t="s">
        <v>5</v>
      </c>
      <c r="G11" s="34" t="s">
        <v>5</v>
      </c>
      <c r="H11" s="32" t="s">
        <v>86</v>
      </c>
    </row>
    <row r="12" spans="1:12" ht="16.2" thickBot="1" x14ac:dyDescent="0.35">
      <c r="A12" s="117" t="s">
        <v>15</v>
      </c>
      <c r="B12" s="35">
        <v>46185</v>
      </c>
      <c r="C12" s="36">
        <v>0.875</v>
      </c>
      <c r="D12" s="37" t="s">
        <v>8</v>
      </c>
      <c r="E12" s="38" t="s">
        <v>16</v>
      </c>
      <c r="F12" s="39">
        <v>1</v>
      </c>
      <c r="G12" s="39">
        <v>1</v>
      </c>
      <c r="H12" s="46" t="s">
        <v>17</v>
      </c>
    </row>
    <row r="13" spans="1:12" ht="16.2" thickBot="1" x14ac:dyDescent="0.35">
      <c r="A13" s="118"/>
      <c r="B13" s="35">
        <v>46186</v>
      </c>
      <c r="C13" s="36">
        <v>0.875</v>
      </c>
      <c r="D13" s="37" t="s">
        <v>8</v>
      </c>
      <c r="E13" s="38" t="s">
        <v>18</v>
      </c>
      <c r="F13" s="39">
        <v>1</v>
      </c>
      <c r="G13" s="39">
        <v>1</v>
      </c>
      <c r="H13" s="46" t="s">
        <v>19</v>
      </c>
    </row>
    <row r="14" spans="1:12" ht="16.2" thickBot="1" x14ac:dyDescent="0.35">
      <c r="A14" s="118"/>
      <c r="B14" s="35">
        <v>46191</v>
      </c>
      <c r="C14" s="36">
        <v>0.875</v>
      </c>
      <c r="D14" s="37" t="s">
        <v>13</v>
      </c>
      <c r="E14" s="38" t="s">
        <v>19</v>
      </c>
      <c r="F14" s="41">
        <v>2</v>
      </c>
      <c r="G14" s="41">
        <v>0</v>
      </c>
      <c r="H14" s="46" t="s">
        <v>17</v>
      </c>
      <c r="J14" s="1" t="str">
        <f>IF(OR(Resultados!F14="",Resultados!G14=""),"",IF(AND(F14=Resultados!F14,G14=Resultados!G14),2,IF(((F14&gt;G14)=(Resultados!F14&gt;Resultados!G14))*((F14&lt;G14)=(Resultados!F14&lt;Resultados!G14)),1,0)))</f>
        <v/>
      </c>
    </row>
    <row r="15" spans="1:12" ht="16.2" thickBot="1" x14ac:dyDescent="0.35">
      <c r="A15" s="118"/>
      <c r="B15" s="35">
        <v>46192</v>
      </c>
      <c r="C15" s="36">
        <v>0</v>
      </c>
      <c r="D15" s="37" t="s">
        <v>13</v>
      </c>
      <c r="E15" s="38" t="s">
        <v>16</v>
      </c>
      <c r="F15" s="41">
        <v>2</v>
      </c>
      <c r="G15" s="41">
        <v>0</v>
      </c>
      <c r="H15" s="46" t="s">
        <v>18</v>
      </c>
      <c r="J15" s="1" t="str">
        <f>IF(OR(Resultados!F15="",Resultados!G15=""),"",IF(AND(F15=Resultados!F15,G15=Resultados!G15),2,IF(((F15&gt;G15)=(Resultados!F15&gt;Resultados!G15))*((F15&lt;G15)=(Resultados!F15&lt;Resultados!G15)),1,0)))</f>
        <v/>
      </c>
    </row>
    <row r="16" spans="1:12" ht="16.2" thickBot="1" x14ac:dyDescent="0.35">
      <c r="A16" s="118"/>
      <c r="B16" s="35">
        <v>46197</v>
      </c>
      <c r="C16" s="36">
        <v>0.875</v>
      </c>
      <c r="D16" s="37" t="s">
        <v>14</v>
      </c>
      <c r="E16" s="38" t="s">
        <v>19</v>
      </c>
      <c r="F16" s="41">
        <v>1</v>
      </c>
      <c r="G16" s="41">
        <v>0</v>
      </c>
      <c r="H16" s="46" t="s">
        <v>16</v>
      </c>
      <c r="J16" s="1" t="str">
        <f>IF(OR(Resultados!F16="",Resultados!G16=""),"",IF(AND(F16=Resultados!F16,G16=Resultados!G16),2,IF(((F16&gt;G16)=(Resultados!F16&gt;Resultados!G16))*((F16&lt;G16)=(Resultados!F16&lt;Resultados!G16)),1,0)))</f>
        <v/>
      </c>
    </row>
    <row r="17" spans="1:10" ht="16.2" thickBot="1" x14ac:dyDescent="0.35">
      <c r="A17" s="119"/>
      <c r="B17" s="42">
        <v>46197</v>
      </c>
      <c r="C17" s="43">
        <v>0.875</v>
      </c>
      <c r="D17" s="44" t="s">
        <v>14</v>
      </c>
      <c r="E17" s="45" t="s">
        <v>17</v>
      </c>
      <c r="F17" s="41">
        <v>1</v>
      </c>
      <c r="G17" s="41">
        <v>0</v>
      </c>
      <c r="H17" s="46" t="s">
        <v>18</v>
      </c>
      <c r="J17" s="1" t="str">
        <f>IF(OR(Resultados!F17="",Resultados!G17=""),"",IF(AND(F17=Resultados!F17,G17=Resultados!G17),2,IF(((F17&gt;G17)=(Resultados!F17&gt;Resultados!G17))*((F17&lt;G17)=(Resultados!F17&lt;Resultados!G17)),1,0)))</f>
        <v/>
      </c>
    </row>
    <row r="18" spans="1:10" ht="16.2" thickBot="1" x14ac:dyDescent="0.35">
      <c r="A18" s="47"/>
      <c r="B18" s="48"/>
      <c r="C18" s="48"/>
      <c r="D18" s="48"/>
      <c r="E18" s="48"/>
      <c r="F18" s="48"/>
      <c r="G18" s="48"/>
      <c r="H18" s="49"/>
    </row>
    <row r="19" spans="1:10" ht="16.2" thickBot="1" x14ac:dyDescent="0.35">
      <c r="A19" s="50"/>
      <c r="B19" s="32" t="s">
        <v>1</v>
      </c>
      <c r="C19" s="32" t="s">
        <v>2</v>
      </c>
      <c r="D19" s="32" t="s">
        <v>3</v>
      </c>
      <c r="E19" s="33" t="s">
        <v>85</v>
      </c>
      <c r="F19" s="34" t="s">
        <v>5</v>
      </c>
      <c r="G19" s="34" t="s">
        <v>5</v>
      </c>
      <c r="H19" s="32" t="s">
        <v>86</v>
      </c>
    </row>
    <row r="20" spans="1:10" ht="16.2" thickBot="1" x14ac:dyDescent="0.35">
      <c r="A20" s="120" t="s">
        <v>20</v>
      </c>
      <c r="B20" s="35">
        <v>46187</v>
      </c>
      <c r="C20" s="36">
        <v>0</v>
      </c>
      <c r="D20" s="37" t="s">
        <v>8</v>
      </c>
      <c r="E20" s="38" t="s">
        <v>21</v>
      </c>
      <c r="F20" s="39">
        <v>1</v>
      </c>
      <c r="G20" s="39">
        <v>1</v>
      </c>
      <c r="H20" s="46" t="s">
        <v>22</v>
      </c>
    </row>
    <row r="21" spans="1:10" ht="16.2" thickBot="1" x14ac:dyDescent="0.35">
      <c r="A21" s="121"/>
      <c r="B21" s="35">
        <v>46187</v>
      </c>
      <c r="C21" s="36">
        <v>0.125</v>
      </c>
      <c r="D21" s="37" t="s">
        <v>8</v>
      </c>
      <c r="E21" s="38" t="s">
        <v>23</v>
      </c>
      <c r="F21" s="52">
        <v>0</v>
      </c>
      <c r="G21" s="52">
        <v>2</v>
      </c>
      <c r="H21" s="46" t="s">
        <v>24</v>
      </c>
      <c r="J21" s="1">
        <f>IF(OR(Resultados!F21="",Resultados!G21=""),"",IF(AND(F21=Resultados!F21,G21=Resultados!G21),2,IF(((F21&gt;G21)=(Resultados!F21&gt;Resultados!G21))*((F21&lt;G21)=(Resultados!F21&lt;Resultados!G21)),1,0)))</f>
        <v>1</v>
      </c>
    </row>
    <row r="22" spans="1:10" ht="16.2" thickBot="1" x14ac:dyDescent="0.35">
      <c r="A22" s="121"/>
      <c r="B22" s="35">
        <v>46193</v>
      </c>
      <c r="C22" s="36">
        <v>0</v>
      </c>
      <c r="D22" s="37" t="s">
        <v>13</v>
      </c>
      <c r="E22" s="38" t="s">
        <v>24</v>
      </c>
      <c r="F22" s="41">
        <v>0</v>
      </c>
      <c r="G22" s="41">
        <v>1</v>
      </c>
      <c r="H22" s="46" t="s">
        <v>22</v>
      </c>
      <c r="J22" s="1" t="str">
        <f>IF(OR(Resultados!F22="",Resultados!G22=""),"",IF(AND(F22=Resultados!F22,G22=Resultados!G22),2,IF(((F22&gt;G22)=(Resultados!F22&gt;Resultados!G22))*((F22&lt;G22)=(Resultados!F22&lt;Resultados!G22)),1,0)))</f>
        <v/>
      </c>
    </row>
    <row r="23" spans="1:10" ht="16.2" thickBot="1" x14ac:dyDescent="0.35">
      <c r="A23" s="121"/>
      <c r="B23" s="35">
        <v>46193</v>
      </c>
      <c r="C23" s="36">
        <v>0.10416666666666667</v>
      </c>
      <c r="D23" s="37" t="s">
        <v>13</v>
      </c>
      <c r="E23" s="38" t="s">
        <v>21</v>
      </c>
      <c r="F23" s="41">
        <v>3</v>
      </c>
      <c r="G23" s="41">
        <v>0</v>
      </c>
      <c r="H23" s="46" t="s">
        <v>23</v>
      </c>
      <c r="J23" s="1" t="str">
        <f>IF(OR(Resultados!F23="",Resultados!G23=""),"",IF(AND(F23=Resultados!F23,G23=Resultados!G23),2,IF(((F23&gt;G23)=(Resultados!F23&gt;Resultados!G23))*((F23&lt;G23)=(Resultados!F23&lt;Resultados!G23)),1,0)))</f>
        <v/>
      </c>
    </row>
    <row r="24" spans="1:10" ht="16.2" thickBot="1" x14ac:dyDescent="0.35">
      <c r="A24" s="121"/>
      <c r="B24" s="35">
        <v>46198</v>
      </c>
      <c r="C24" s="36">
        <v>0</v>
      </c>
      <c r="D24" s="37" t="s">
        <v>14</v>
      </c>
      <c r="E24" s="38" t="s">
        <v>24</v>
      </c>
      <c r="F24" s="41">
        <v>0</v>
      </c>
      <c r="G24" s="41">
        <v>2</v>
      </c>
      <c r="H24" s="46" t="s">
        <v>21</v>
      </c>
      <c r="J24" s="1" t="str">
        <f>IF(OR(Resultados!F24="",Resultados!G24=""),"",IF(AND(F24=Resultados!F24,G24=Resultados!G24),2,IF(((F24&gt;G24)=(Resultados!F24&gt;Resultados!G24))*((F24&lt;G24)=(Resultados!F24&lt;Resultados!G24)),1,0)))</f>
        <v/>
      </c>
    </row>
    <row r="25" spans="1:10" ht="16.2" thickBot="1" x14ac:dyDescent="0.35">
      <c r="A25" s="122"/>
      <c r="B25" s="42">
        <v>46198</v>
      </c>
      <c r="C25" s="43">
        <v>0</v>
      </c>
      <c r="D25" s="44" t="s">
        <v>14</v>
      </c>
      <c r="E25" s="45" t="s">
        <v>22</v>
      </c>
      <c r="F25" s="41">
        <v>2</v>
      </c>
      <c r="G25" s="41">
        <v>0</v>
      </c>
      <c r="H25" s="46" t="s">
        <v>23</v>
      </c>
      <c r="J25" s="1" t="str">
        <f>IF(OR(Resultados!F25="",Resultados!G25=""),"",IF(AND(F25=Resultados!F25,G25=Resultados!G25),2,IF(((F25&gt;G25)=(Resultados!F25&gt;Resultados!G25))*((F25&lt;G25)=(Resultados!F25&lt;Resultados!G25)),1,0)))</f>
        <v/>
      </c>
    </row>
    <row r="26" spans="1:10" ht="16.2" thickBot="1" x14ac:dyDescent="0.35">
      <c r="A26" s="53"/>
      <c r="B26" s="53"/>
      <c r="C26" s="53"/>
      <c r="D26" s="53"/>
      <c r="E26" s="53"/>
      <c r="F26" s="53"/>
      <c r="G26" s="53"/>
      <c r="H26" s="54"/>
    </row>
    <row r="27" spans="1:10" ht="16.2" thickBot="1" x14ac:dyDescent="0.35">
      <c r="A27" s="50"/>
      <c r="B27" s="32" t="s">
        <v>1</v>
      </c>
      <c r="C27" s="32" t="s">
        <v>2</v>
      </c>
      <c r="D27" s="32" t="s">
        <v>3</v>
      </c>
      <c r="E27" s="33" t="s">
        <v>85</v>
      </c>
      <c r="F27" s="34" t="s">
        <v>5</v>
      </c>
      <c r="G27" s="34" t="s">
        <v>5</v>
      </c>
      <c r="H27" s="32" t="s">
        <v>86</v>
      </c>
    </row>
    <row r="28" spans="1:10" ht="16.2" thickBot="1" x14ac:dyDescent="0.35">
      <c r="A28" s="111" t="s">
        <v>25</v>
      </c>
      <c r="B28" s="35">
        <v>46186</v>
      </c>
      <c r="C28" s="36">
        <v>0.125</v>
      </c>
      <c r="D28" s="37" t="s">
        <v>8</v>
      </c>
      <c r="E28" s="38" t="s">
        <v>26</v>
      </c>
      <c r="F28" s="39">
        <v>4</v>
      </c>
      <c r="G28" s="39">
        <v>1</v>
      </c>
      <c r="H28" s="46" t="s">
        <v>27</v>
      </c>
    </row>
    <row r="29" spans="1:10" ht="16.2" thickBot="1" x14ac:dyDescent="0.35">
      <c r="A29" s="112"/>
      <c r="B29" s="35">
        <v>46187</v>
      </c>
      <c r="C29" s="36">
        <v>0.25</v>
      </c>
      <c r="D29" s="37" t="s">
        <v>8</v>
      </c>
      <c r="E29" s="38" t="s">
        <v>28</v>
      </c>
      <c r="F29" s="52">
        <v>0</v>
      </c>
      <c r="G29" s="52">
        <v>1</v>
      </c>
      <c r="H29" s="46" t="s">
        <v>29</v>
      </c>
      <c r="J29" s="1">
        <f>IF(OR(Resultados!F29="",Resultados!G29=""),"",IF(AND(F29=Resultados!F29,G29=Resultados!G29),2,IF(((F29&gt;G29)=(Resultados!F29&gt;Resultados!G29))*((F29&lt;G29)=(Resultados!F29&lt;Resultados!G29)),1,0)))</f>
        <v>0</v>
      </c>
    </row>
    <row r="30" spans="1:10" ht="16.2" thickBot="1" x14ac:dyDescent="0.35">
      <c r="A30" s="112"/>
      <c r="B30" s="35">
        <v>46192</v>
      </c>
      <c r="C30" s="36">
        <v>0.875</v>
      </c>
      <c r="D30" s="37" t="s">
        <v>13</v>
      </c>
      <c r="E30" s="38" t="s">
        <v>26</v>
      </c>
      <c r="F30" s="41">
        <v>1</v>
      </c>
      <c r="G30" s="41">
        <v>0</v>
      </c>
      <c r="H30" s="46" t="s">
        <v>28</v>
      </c>
      <c r="J30" s="1" t="str">
        <f>IF(OR(Resultados!F30="",Resultados!G30=""),"",IF(AND(F30=Resultados!F30,G30=Resultados!G30),2,IF(((F30&gt;G30)=(Resultados!F30&gt;Resultados!G30))*((F30&lt;G30)=(Resultados!F30&lt;Resultados!G30)),1,0)))</f>
        <v/>
      </c>
    </row>
    <row r="31" spans="1:10" ht="16.2" thickBot="1" x14ac:dyDescent="0.35">
      <c r="A31" s="112"/>
      <c r="B31" s="35">
        <v>46193</v>
      </c>
      <c r="C31" s="36">
        <v>0.20833333333333334</v>
      </c>
      <c r="D31" s="37" t="s">
        <v>13</v>
      </c>
      <c r="E31" s="38" t="s">
        <v>29</v>
      </c>
      <c r="F31" s="41">
        <v>2</v>
      </c>
      <c r="G31" s="41">
        <v>1</v>
      </c>
      <c r="H31" s="46" t="s">
        <v>27</v>
      </c>
      <c r="J31" s="1" t="str">
        <f>IF(OR(Resultados!F31="",Resultados!G31=""),"",IF(AND(F31=Resultados!F31,G31=Resultados!G31),2,IF(((F31&gt;G31)=(Resultados!F31&gt;Resultados!G31))*((F31&lt;G31)=(Resultados!F31&lt;Resultados!G31)),1,0)))</f>
        <v/>
      </c>
    </row>
    <row r="32" spans="1:10" ht="16.2" thickBot="1" x14ac:dyDescent="0.35">
      <c r="A32" s="112"/>
      <c r="B32" s="35">
        <v>46199</v>
      </c>
      <c r="C32" s="36">
        <v>0.16666666666666666</v>
      </c>
      <c r="D32" s="37" t="s">
        <v>14</v>
      </c>
      <c r="E32" s="38" t="s">
        <v>29</v>
      </c>
      <c r="F32" s="41">
        <v>1</v>
      </c>
      <c r="G32" s="41">
        <v>1</v>
      </c>
      <c r="H32" s="46" t="s">
        <v>26</v>
      </c>
      <c r="J32" s="1" t="str">
        <f>IF(OR(Resultados!F32="",Resultados!G32=""),"",IF(AND(F32=Resultados!F32,G32=Resultados!G32),2,IF(((F32&gt;G32)=(Resultados!F32&gt;Resultados!G32))*((F32&lt;G32)=(Resultados!F32&lt;Resultados!G32)),1,0)))</f>
        <v/>
      </c>
    </row>
    <row r="33" spans="1:10" ht="16.2" thickBot="1" x14ac:dyDescent="0.35">
      <c r="A33" s="113"/>
      <c r="B33" s="42">
        <v>46199</v>
      </c>
      <c r="C33" s="43">
        <v>0.16666666666666666</v>
      </c>
      <c r="D33" s="44" t="s">
        <v>14</v>
      </c>
      <c r="E33" s="45" t="s">
        <v>27</v>
      </c>
      <c r="F33" s="41">
        <v>1</v>
      </c>
      <c r="G33" s="41">
        <v>0</v>
      </c>
      <c r="H33" s="46" t="s">
        <v>28</v>
      </c>
      <c r="J33" s="1" t="str">
        <f>IF(OR(Resultados!F33="",Resultados!G33=""),"",IF(AND(F33=Resultados!F33,G33=Resultados!G33),2,IF(((F33&gt;G33)=(Resultados!F33&gt;Resultados!G33))*((F33&lt;G33)=(Resultados!F33&lt;Resultados!G33)),1,0)))</f>
        <v/>
      </c>
    </row>
    <row r="34" spans="1:10" ht="16.2" thickBot="1" x14ac:dyDescent="0.35">
      <c r="A34" s="47"/>
      <c r="B34" s="48"/>
      <c r="C34" s="48"/>
      <c r="D34" s="48"/>
      <c r="E34" s="48"/>
      <c r="F34" s="48"/>
      <c r="G34" s="48"/>
      <c r="H34" s="49"/>
    </row>
    <row r="35" spans="1:10" ht="16.2" thickBot="1" x14ac:dyDescent="0.35">
      <c r="A35" s="50"/>
      <c r="B35" s="32" t="s">
        <v>1</v>
      </c>
      <c r="C35" s="32" t="s">
        <v>2</v>
      </c>
      <c r="D35" s="32" t="s">
        <v>3</v>
      </c>
      <c r="E35" s="33" t="s">
        <v>85</v>
      </c>
      <c r="F35" s="34" t="s">
        <v>5</v>
      </c>
      <c r="G35" s="34" t="s">
        <v>5</v>
      </c>
      <c r="H35" s="32" t="s">
        <v>86</v>
      </c>
    </row>
    <row r="36" spans="1:10" ht="16.2" thickBot="1" x14ac:dyDescent="0.35">
      <c r="A36" s="129" t="s">
        <v>30</v>
      </c>
      <c r="B36" s="35">
        <v>46187</v>
      </c>
      <c r="C36" s="36">
        <v>0.79166666666666663</v>
      </c>
      <c r="D36" s="37" t="s">
        <v>8</v>
      </c>
      <c r="E36" s="38" t="s">
        <v>31</v>
      </c>
      <c r="F36" s="52">
        <v>3</v>
      </c>
      <c r="G36" s="52">
        <v>0</v>
      </c>
      <c r="H36" s="46" t="s">
        <v>32</v>
      </c>
      <c r="J36" s="1">
        <f>IF(OR(Resultados!F36="",Resultados!G36=""),"",IF(AND(F36=Resultados!F36,G36=Resultados!G36),2,IF(((F36&gt;G36)=(Resultados!F36&gt;Resultados!G36))*((F36&lt;G36)=(Resultados!F36&lt;Resultados!G36)),1,0)))</f>
        <v>1</v>
      </c>
    </row>
    <row r="37" spans="1:10" ht="16.2" thickBot="1" x14ac:dyDescent="0.35">
      <c r="A37" s="130"/>
      <c r="B37" s="35">
        <v>46188</v>
      </c>
      <c r="C37" s="36">
        <v>4.1666666666666664E-2</v>
      </c>
      <c r="D37" s="37" t="s">
        <v>8</v>
      </c>
      <c r="E37" s="38" t="s">
        <v>33</v>
      </c>
      <c r="F37" s="52">
        <v>1</v>
      </c>
      <c r="G37" s="52">
        <v>1</v>
      </c>
      <c r="H37" s="46" t="s">
        <v>34</v>
      </c>
      <c r="J37" s="1">
        <f>IF(OR(Resultados!F37="",Resultados!G37=""),"",IF(AND(F37=Resultados!F37,G37=Resultados!G37),2,IF(((F37&gt;G37)=(Resultados!F37&gt;Resultados!G37))*((F37&lt;G37)=(Resultados!F37&lt;Resultados!G37)),1,0)))</f>
        <v>0</v>
      </c>
    </row>
    <row r="38" spans="1:10" ht="16.2" thickBot="1" x14ac:dyDescent="0.35">
      <c r="A38" s="130"/>
      <c r="B38" s="35">
        <v>46193</v>
      </c>
      <c r="C38" s="36">
        <v>0.91666666666666663</v>
      </c>
      <c r="D38" s="37" t="s">
        <v>13</v>
      </c>
      <c r="E38" s="38" t="s">
        <v>31</v>
      </c>
      <c r="F38" s="41">
        <v>2</v>
      </c>
      <c r="G38" s="41">
        <v>0</v>
      </c>
      <c r="H38" s="46" t="s">
        <v>33</v>
      </c>
      <c r="J38" s="1" t="str">
        <f>IF(OR(Resultados!F38="",Resultados!G38=""),"",IF(AND(F38=Resultados!F38,G38=Resultados!G38),2,IF(((F38&gt;G38)=(Resultados!F38&gt;Resultados!G38))*((F38&lt;G38)=(Resultados!F38&lt;Resultados!G38)),1,0)))</f>
        <v/>
      </c>
    </row>
    <row r="39" spans="1:10" ht="16.2" thickBot="1" x14ac:dyDescent="0.35">
      <c r="A39" s="130"/>
      <c r="B39" s="35">
        <v>46194</v>
      </c>
      <c r="C39" s="36">
        <v>8.3333333333333329E-2</v>
      </c>
      <c r="D39" s="37" t="s">
        <v>13</v>
      </c>
      <c r="E39" s="38" t="s">
        <v>34</v>
      </c>
      <c r="F39" s="41">
        <v>2</v>
      </c>
      <c r="G39" s="41">
        <v>0</v>
      </c>
      <c r="H39" s="46" t="s">
        <v>32</v>
      </c>
      <c r="J39" s="1" t="str">
        <f>IF(OR(Resultados!F39="",Resultados!G39=""),"",IF(AND(F39=Resultados!F39,G39=Resultados!G39),2,IF(((F39&gt;G39)=(Resultados!F39&gt;Resultados!G39))*((F39&lt;G39)=(Resultados!F39&lt;Resultados!G39)),1,0)))</f>
        <v/>
      </c>
    </row>
    <row r="40" spans="1:10" ht="16.2" thickBot="1" x14ac:dyDescent="0.35">
      <c r="A40" s="130"/>
      <c r="B40" s="35">
        <v>46198</v>
      </c>
      <c r="C40" s="36">
        <v>0.91666666666666663</v>
      </c>
      <c r="D40" s="37" t="s">
        <v>14</v>
      </c>
      <c r="E40" s="38" t="s">
        <v>32</v>
      </c>
      <c r="F40" s="41">
        <v>0</v>
      </c>
      <c r="G40" s="41">
        <v>2</v>
      </c>
      <c r="H40" s="46" t="s">
        <v>33</v>
      </c>
      <c r="J40" s="1" t="str">
        <f>IF(OR(Resultados!F40="",Resultados!G40=""),"",IF(AND(F40=Resultados!F40,G40=Resultados!G40),2,IF(((F40&gt;G40)=(Resultados!F40&gt;Resultados!G40))*((F40&lt;G40)=(Resultados!F40&lt;Resultados!G40)),1,0)))</f>
        <v/>
      </c>
    </row>
    <row r="41" spans="1:10" ht="16.2" thickBot="1" x14ac:dyDescent="0.35">
      <c r="A41" s="131"/>
      <c r="B41" s="42">
        <v>46198</v>
      </c>
      <c r="C41" s="43">
        <v>0.91666666666666663</v>
      </c>
      <c r="D41" s="44" t="s">
        <v>14</v>
      </c>
      <c r="E41" s="45" t="s">
        <v>34</v>
      </c>
      <c r="F41" s="41">
        <v>0</v>
      </c>
      <c r="G41" s="41">
        <v>2</v>
      </c>
      <c r="H41" s="46" t="s">
        <v>31</v>
      </c>
      <c r="J41" s="1" t="str">
        <f>IF(OR(Resultados!F41="",Resultados!G41=""),"",IF(AND(F41=Resultados!F41,G41=Resultados!G41),2,IF(((F41&gt;G41)=(Resultados!F41&gt;Resultados!G41))*((F41&lt;G41)=(Resultados!F41&lt;Resultados!G41)),1,0)))</f>
        <v/>
      </c>
    </row>
    <row r="42" spans="1:10" ht="16.2" thickBot="1" x14ac:dyDescent="0.35">
      <c r="A42" s="47"/>
      <c r="B42" s="48"/>
      <c r="C42" s="48"/>
      <c r="D42" s="48"/>
      <c r="E42" s="48"/>
      <c r="F42" s="48"/>
      <c r="G42" s="48"/>
      <c r="H42" s="49"/>
    </row>
    <row r="43" spans="1:10" ht="16.2" thickBot="1" x14ac:dyDescent="0.35">
      <c r="A43" s="50"/>
      <c r="B43" s="32" t="s">
        <v>1</v>
      </c>
      <c r="C43" s="32" t="s">
        <v>2</v>
      </c>
      <c r="D43" s="32" t="s">
        <v>3</v>
      </c>
      <c r="E43" s="33" t="s">
        <v>85</v>
      </c>
      <c r="F43" s="34" t="s">
        <v>5</v>
      </c>
      <c r="G43" s="34" t="s">
        <v>5</v>
      </c>
      <c r="H43" s="32" t="s">
        <v>86</v>
      </c>
    </row>
    <row r="44" spans="1:10" ht="16.2" thickBot="1" x14ac:dyDescent="0.35">
      <c r="A44" s="132" t="s">
        <v>35</v>
      </c>
      <c r="B44" s="35">
        <v>46187</v>
      </c>
      <c r="C44" s="36">
        <v>0.91666666666666663</v>
      </c>
      <c r="D44" s="37" t="s">
        <v>8</v>
      </c>
      <c r="E44" s="38" t="s">
        <v>36</v>
      </c>
      <c r="F44" s="52">
        <v>2</v>
      </c>
      <c r="G44" s="52">
        <v>1</v>
      </c>
      <c r="H44" s="46" t="s">
        <v>37</v>
      </c>
      <c r="J44" s="1">
        <f>IF(OR(Resultados!F44="",Resultados!G44=""),"",IF(AND(F44=Resultados!F44,G44=Resultados!G44),2,IF(((F44&gt;G44)=(Resultados!F44&gt;Resultados!G44))*((F44&lt;G44)=(Resultados!F44&lt;Resultados!G44)),1,0)))</f>
        <v>0</v>
      </c>
    </row>
    <row r="45" spans="1:10" ht="16.2" thickBot="1" x14ac:dyDescent="0.35">
      <c r="A45" s="133"/>
      <c r="B45" s="35">
        <v>46188</v>
      </c>
      <c r="C45" s="36">
        <v>0.16666666666666666</v>
      </c>
      <c r="D45" s="37" t="s">
        <v>8</v>
      </c>
      <c r="E45" s="38" t="s">
        <v>38</v>
      </c>
      <c r="F45" s="52">
        <v>1</v>
      </c>
      <c r="G45" s="52">
        <v>0</v>
      </c>
      <c r="H45" s="46" t="s">
        <v>39</v>
      </c>
      <c r="J45" s="1">
        <f>IF(OR(Resultados!F45="",Resultados!G45=""),"",IF(AND(F45=Resultados!F45,G45=Resultados!G45),2,IF(((F45&gt;G45)=(Resultados!F45&gt;Resultados!G45))*((F45&lt;G45)=(Resultados!F45&lt;Resultados!G45)),1,0)))</f>
        <v>1</v>
      </c>
    </row>
    <row r="46" spans="1:10" ht="16.2" thickBot="1" x14ac:dyDescent="0.35">
      <c r="A46" s="133"/>
      <c r="B46" s="35">
        <v>46193</v>
      </c>
      <c r="C46" s="36">
        <v>0.79166666666666663</v>
      </c>
      <c r="D46" s="37" t="s">
        <v>13</v>
      </c>
      <c r="E46" s="38" t="s">
        <v>36</v>
      </c>
      <c r="F46" s="41">
        <v>2</v>
      </c>
      <c r="G46" s="41">
        <v>1</v>
      </c>
      <c r="H46" s="46" t="s">
        <v>38</v>
      </c>
      <c r="J46" s="1" t="str">
        <f>IF(OR(Resultados!F46="",Resultados!G46=""),"",IF(AND(F46=Resultados!F46,G46=Resultados!G46),2,IF(((F46&gt;G46)=(Resultados!F46&gt;Resultados!G46))*((F46&lt;G46)=(Resultados!F46&lt;Resultados!G46)),1,0)))</f>
        <v/>
      </c>
    </row>
    <row r="47" spans="1:10" ht="16.2" thickBot="1" x14ac:dyDescent="0.35">
      <c r="A47" s="133"/>
      <c r="B47" s="35">
        <v>46194</v>
      </c>
      <c r="C47" s="36">
        <v>0.25</v>
      </c>
      <c r="D47" s="37" t="s">
        <v>13</v>
      </c>
      <c r="E47" s="38" t="s">
        <v>39</v>
      </c>
      <c r="F47" s="41">
        <v>0</v>
      </c>
      <c r="G47" s="41">
        <v>1</v>
      </c>
      <c r="H47" s="46" t="s">
        <v>37</v>
      </c>
      <c r="J47" s="1" t="str">
        <f>IF(OR(Resultados!F47="",Resultados!G47=""),"",IF(AND(F47=Resultados!F47,G47=Resultados!G47),2,IF(((F47&gt;G47)=(Resultados!F47&gt;Resultados!G47))*((F47&lt;G47)=(Resultados!F47&lt;Resultados!G47)),1,0)))</f>
        <v/>
      </c>
    </row>
    <row r="48" spans="1:10" ht="16.2" thickBot="1" x14ac:dyDescent="0.35">
      <c r="A48" s="133"/>
      <c r="B48" s="35">
        <v>46199</v>
      </c>
      <c r="C48" s="36">
        <v>4.1666666666666664E-2</v>
      </c>
      <c r="D48" s="37" t="s">
        <v>14</v>
      </c>
      <c r="E48" s="38" t="s">
        <v>37</v>
      </c>
      <c r="F48" s="41">
        <v>1</v>
      </c>
      <c r="G48" s="41">
        <v>0</v>
      </c>
      <c r="H48" s="46" t="s">
        <v>38</v>
      </c>
      <c r="J48" s="1" t="str">
        <f>IF(OR(Resultados!F48="",Resultados!G48=""),"",IF(AND(F48=Resultados!F48,G48=Resultados!G48),2,IF(((F48&gt;G48)=(Resultados!F48&gt;Resultados!G48))*((F48&lt;G48)=(Resultados!F48&lt;Resultados!G48)),1,0)))</f>
        <v/>
      </c>
    </row>
    <row r="49" spans="1:10" ht="16.2" thickBot="1" x14ac:dyDescent="0.35">
      <c r="A49" s="134"/>
      <c r="B49" s="42">
        <v>46199</v>
      </c>
      <c r="C49" s="43">
        <v>4.1666666666666664E-2</v>
      </c>
      <c r="D49" s="44" t="s">
        <v>14</v>
      </c>
      <c r="E49" s="45" t="s">
        <v>39</v>
      </c>
      <c r="F49" s="41">
        <v>0</v>
      </c>
      <c r="G49" s="41">
        <v>2</v>
      </c>
      <c r="H49" s="46" t="s">
        <v>36</v>
      </c>
      <c r="J49" s="1" t="str">
        <f>IF(OR(Resultados!F49="",Resultados!G49=""),"",IF(AND(F49=Resultados!F49,G49=Resultados!G49),2,IF(((F49&gt;G49)=(Resultados!F49&gt;Resultados!G49))*((F49&lt;G49)=(Resultados!F49&lt;Resultados!G49)),1,0)))</f>
        <v/>
      </c>
    </row>
    <row r="50" spans="1:10" ht="16.2" thickBot="1" x14ac:dyDescent="0.35">
      <c r="A50" s="47"/>
      <c r="B50" s="48"/>
      <c r="C50" s="48"/>
      <c r="D50" s="48"/>
      <c r="E50" s="48"/>
      <c r="F50" s="48"/>
      <c r="G50" s="48"/>
      <c r="H50" s="49"/>
    </row>
    <row r="51" spans="1:10" ht="16.2" thickBot="1" x14ac:dyDescent="0.35">
      <c r="A51" s="50"/>
      <c r="B51" s="32" t="s">
        <v>1</v>
      </c>
      <c r="C51" s="32" t="s">
        <v>2</v>
      </c>
      <c r="D51" s="32" t="s">
        <v>3</v>
      </c>
      <c r="E51" s="33" t="s">
        <v>85</v>
      </c>
      <c r="F51" s="34" t="s">
        <v>5</v>
      </c>
      <c r="G51" s="34" t="s">
        <v>5</v>
      </c>
      <c r="H51" s="32" t="s">
        <v>86</v>
      </c>
    </row>
    <row r="52" spans="1:10" ht="16.2" thickBot="1" x14ac:dyDescent="0.35">
      <c r="A52" s="135" t="s">
        <v>40</v>
      </c>
      <c r="B52" s="35">
        <v>46188</v>
      </c>
      <c r="C52" s="36">
        <v>0.875</v>
      </c>
      <c r="D52" s="37" t="s">
        <v>8</v>
      </c>
      <c r="E52" s="38" t="s">
        <v>41</v>
      </c>
      <c r="F52" s="52">
        <v>2</v>
      </c>
      <c r="G52" s="52">
        <v>0</v>
      </c>
      <c r="H52" s="46" t="s">
        <v>42</v>
      </c>
      <c r="J52" s="1" t="str">
        <f>IF(OR(Resultados!F52="",Resultados!G52=""),"",IF(AND(F52=Resultados!F52,G52=Resultados!G52),2,IF(((F52&gt;G52)=(Resultados!F52&gt;Resultados!G52))*((F52&lt;G52)=(Resultados!F52&lt;Resultados!G52)),1,0)))</f>
        <v/>
      </c>
    </row>
    <row r="53" spans="1:10" ht="16.2" thickBot="1" x14ac:dyDescent="0.35">
      <c r="A53" s="136"/>
      <c r="B53" s="35">
        <v>46189</v>
      </c>
      <c r="C53" s="36">
        <v>0.125</v>
      </c>
      <c r="D53" s="37" t="s">
        <v>8</v>
      </c>
      <c r="E53" s="38" t="s">
        <v>43</v>
      </c>
      <c r="F53" s="52">
        <v>1</v>
      </c>
      <c r="G53" s="52">
        <v>0</v>
      </c>
      <c r="H53" s="46" t="s">
        <v>44</v>
      </c>
      <c r="J53" s="1" t="str">
        <f>IF(OR(Resultados!F53="",Resultados!G53=""),"",IF(AND(F53=Resultados!F53,G53=Resultados!G53),2,IF(((F53&gt;G53)=(Resultados!F53&gt;Resultados!G53))*((F53&lt;G53)=(Resultados!F53&lt;Resultados!G53)),1,0)))</f>
        <v/>
      </c>
    </row>
    <row r="54" spans="1:10" ht="16.2" thickBot="1" x14ac:dyDescent="0.35">
      <c r="A54" s="136"/>
      <c r="B54" s="35">
        <v>46194</v>
      </c>
      <c r="C54" s="36">
        <v>0.875</v>
      </c>
      <c r="D54" s="37" t="s">
        <v>13</v>
      </c>
      <c r="E54" s="38" t="s">
        <v>41</v>
      </c>
      <c r="F54" s="41">
        <v>2</v>
      </c>
      <c r="G54" s="41">
        <v>0</v>
      </c>
      <c r="H54" s="46" t="s">
        <v>43</v>
      </c>
      <c r="J54" s="1" t="str">
        <f>IF(OR(Resultados!F54="",Resultados!G54=""),"",IF(AND(F54=Resultados!F54,G54=Resultados!G54),2,IF(((F54&gt;G54)=(Resultados!F54&gt;Resultados!G54))*((F54&lt;G54)=(Resultados!F54&lt;Resultados!G54)),1,0)))</f>
        <v/>
      </c>
    </row>
    <row r="55" spans="1:10" ht="16.2" thickBot="1" x14ac:dyDescent="0.35">
      <c r="A55" s="136"/>
      <c r="B55" s="35">
        <v>46195</v>
      </c>
      <c r="C55" s="36">
        <v>0.125</v>
      </c>
      <c r="D55" s="37" t="s">
        <v>13</v>
      </c>
      <c r="E55" s="38" t="s">
        <v>44</v>
      </c>
      <c r="F55" s="41">
        <v>0</v>
      </c>
      <c r="G55" s="41">
        <v>1</v>
      </c>
      <c r="H55" s="46" t="s">
        <v>42</v>
      </c>
      <c r="J55" s="1" t="str">
        <f>IF(OR(Resultados!F55="",Resultados!G55=""),"",IF(AND(F55=Resultados!F55,G55=Resultados!G55),2,IF(((F55&gt;G55)=(Resultados!F55&gt;Resultados!G55))*((F55&lt;G55)=(Resultados!F55&lt;Resultados!G55)),1,0)))</f>
        <v/>
      </c>
    </row>
    <row r="56" spans="1:10" ht="16.2" thickBot="1" x14ac:dyDescent="0.35">
      <c r="A56" s="136"/>
      <c r="B56" s="35">
        <v>46200</v>
      </c>
      <c r="C56" s="36">
        <v>0.20833333333333334</v>
      </c>
      <c r="D56" s="37" t="s">
        <v>14</v>
      </c>
      <c r="E56" s="38" t="s">
        <v>42</v>
      </c>
      <c r="F56" s="41">
        <v>1</v>
      </c>
      <c r="G56" s="41">
        <v>1</v>
      </c>
      <c r="H56" s="46" t="s">
        <v>43</v>
      </c>
      <c r="J56" s="1" t="str">
        <f>IF(OR(Resultados!F56="",Resultados!G56=""),"",IF(AND(F56=Resultados!F56,G56=Resultados!G56),2,IF(((F56&gt;G56)=(Resultados!F56&gt;Resultados!G56))*((F56&lt;G56)=(Resultados!F56&lt;Resultados!G56)),1,0)))</f>
        <v/>
      </c>
    </row>
    <row r="57" spans="1:10" ht="16.2" thickBot="1" x14ac:dyDescent="0.35">
      <c r="A57" s="137"/>
      <c r="B57" s="42">
        <v>46200</v>
      </c>
      <c r="C57" s="43">
        <v>0.20833333333333334</v>
      </c>
      <c r="D57" s="44" t="s">
        <v>14</v>
      </c>
      <c r="E57" s="45" t="s">
        <v>44</v>
      </c>
      <c r="F57" s="41">
        <v>0</v>
      </c>
      <c r="G57" s="41">
        <v>2</v>
      </c>
      <c r="H57" s="46" t="s">
        <v>41</v>
      </c>
      <c r="J57" s="1" t="str">
        <f>IF(OR(Resultados!F57="",Resultados!G57=""),"",IF(AND(F57=Resultados!F57,G57=Resultados!G57),2,IF(((F57&gt;G57)=(Resultados!F57&gt;Resultados!G57))*((F57&lt;G57)=(Resultados!F57&lt;Resultados!G57)),1,0)))</f>
        <v/>
      </c>
    </row>
    <row r="58" spans="1:10" ht="16.2" thickBot="1" x14ac:dyDescent="0.35">
      <c r="A58" s="47"/>
      <c r="B58" s="48"/>
      <c r="C58" s="48"/>
      <c r="D58" s="48"/>
      <c r="E58" s="48"/>
      <c r="F58" s="48"/>
      <c r="G58" s="48"/>
      <c r="H58" s="49"/>
    </row>
    <row r="59" spans="1:10" ht="16.2" thickBot="1" x14ac:dyDescent="0.35">
      <c r="A59" s="50"/>
      <c r="B59" s="32" t="s">
        <v>1</v>
      </c>
      <c r="C59" s="32" t="s">
        <v>2</v>
      </c>
      <c r="D59" s="32" t="s">
        <v>3</v>
      </c>
      <c r="E59" s="33" t="s">
        <v>85</v>
      </c>
      <c r="F59" s="34" t="s">
        <v>5</v>
      </c>
      <c r="G59" s="34" t="s">
        <v>5</v>
      </c>
      <c r="H59" s="32" t="s">
        <v>86</v>
      </c>
    </row>
    <row r="60" spans="1:10" ht="16.2" thickBot="1" x14ac:dyDescent="0.35">
      <c r="A60" s="138" t="s">
        <v>45</v>
      </c>
      <c r="B60" s="35">
        <v>46188</v>
      </c>
      <c r="C60" s="36">
        <v>0.75</v>
      </c>
      <c r="D60" s="37" t="s">
        <v>8</v>
      </c>
      <c r="E60" s="38" t="s">
        <v>46</v>
      </c>
      <c r="F60" s="52">
        <v>3</v>
      </c>
      <c r="G60" s="52">
        <v>0</v>
      </c>
      <c r="H60" s="46" t="s">
        <v>47</v>
      </c>
      <c r="J60" s="1" t="str">
        <f>IF(OR(Resultados!F60="",Resultados!G60=""),"",IF(AND(F60=Resultados!F60,G60=Resultados!G60),2,IF(((F60&gt;G60)=(Resultados!F60&gt;Resultados!G60))*((F60&lt;G60)=(Resultados!F60&lt;Resultados!G60)),1,0)))</f>
        <v/>
      </c>
    </row>
    <row r="61" spans="1:10" ht="16.2" thickBot="1" x14ac:dyDescent="0.35">
      <c r="A61" s="139"/>
      <c r="B61" s="35">
        <v>46189</v>
      </c>
      <c r="C61" s="36">
        <v>0</v>
      </c>
      <c r="D61" s="37" t="s">
        <v>8</v>
      </c>
      <c r="E61" s="38" t="s">
        <v>48</v>
      </c>
      <c r="F61" s="52">
        <v>0</v>
      </c>
      <c r="G61" s="52">
        <v>2</v>
      </c>
      <c r="H61" s="46" t="s">
        <v>49</v>
      </c>
      <c r="J61" s="1" t="str">
        <f>IF(OR(Resultados!F61="",Resultados!G61=""),"",IF(AND(F61=Resultados!F61,G61=Resultados!G61),2,IF(((F61&gt;G61)=(Resultados!F61&gt;Resultados!G61))*((F61&lt;G61)=(Resultados!F61&lt;Resultados!G61)),1,0)))</f>
        <v/>
      </c>
    </row>
    <row r="62" spans="1:10" ht="16.2" thickBot="1" x14ac:dyDescent="0.35">
      <c r="A62" s="139"/>
      <c r="B62" s="35">
        <v>46194</v>
      </c>
      <c r="C62" s="36">
        <v>0.75</v>
      </c>
      <c r="D62" s="37" t="s">
        <v>13</v>
      </c>
      <c r="E62" s="38" t="s">
        <v>46</v>
      </c>
      <c r="F62" s="41">
        <v>3</v>
      </c>
      <c r="G62" s="41">
        <v>0</v>
      </c>
      <c r="H62" s="46" t="s">
        <v>48</v>
      </c>
      <c r="J62" s="1" t="str">
        <f>IF(OR(Resultados!F62="",Resultados!G62=""),"",IF(AND(F62=Resultados!F62,G62=Resultados!G62),2,IF(((F62&gt;G62)=(Resultados!F62&gt;Resultados!G62))*((F62&lt;G62)=(Resultados!F62&lt;Resultados!G62)),1,0)))</f>
        <v/>
      </c>
    </row>
    <row r="63" spans="1:10" ht="16.2" thickBot="1" x14ac:dyDescent="0.35">
      <c r="A63" s="139"/>
      <c r="B63" s="35">
        <v>46195</v>
      </c>
      <c r="C63" s="36">
        <v>0</v>
      </c>
      <c r="D63" s="37" t="s">
        <v>13</v>
      </c>
      <c r="E63" s="38" t="s">
        <v>49</v>
      </c>
      <c r="F63" s="41">
        <v>2</v>
      </c>
      <c r="G63" s="41">
        <v>0</v>
      </c>
      <c r="H63" s="46" t="s">
        <v>47</v>
      </c>
      <c r="J63" s="1" t="str">
        <f>IF(OR(Resultados!F63="",Resultados!G63=""),"",IF(AND(F63=Resultados!F63,G63=Resultados!G63),2,IF(((F63&gt;G63)=(Resultados!F63&gt;Resultados!G63))*((F63&lt;G63)=(Resultados!F63&lt;Resultados!G63)),1,0)))</f>
        <v/>
      </c>
    </row>
    <row r="64" spans="1:10" ht="16.2" thickBot="1" x14ac:dyDescent="0.35">
      <c r="A64" s="139"/>
      <c r="B64" s="35">
        <v>46200</v>
      </c>
      <c r="C64" s="36">
        <v>8.3333333333333329E-2</v>
      </c>
      <c r="D64" s="37" t="s">
        <v>14</v>
      </c>
      <c r="E64" s="38" t="s">
        <v>47</v>
      </c>
      <c r="F64" s="41">
        <v>1</v>
      </c>
      <c r="G64" s="41">
        <v>1</v>
      </c>
      <c r="H64" s="46" t="s">
        <v>48</v>
      </c>
      <c r="J64" s="1" t="str">
        <f>IF(OR(Resultados!F64="",Resultados!G64=""),"",IF(AND(F64=Resultados!F64,G64=Resultados!G64),2,IF(((F64&gt;G64)=(Resultados!F64&gt;Resultados!G64))*((F64&lt;G64)=(Resultados!F64&lt;Resultados!G64)),1,0)))</f>
        <v/>
      </c>
    </row>
    <row r="65" spans="1:10" ht="16.2" thickBot="1" x14ac:dyDescent="0.35">
      <c r="A65" s="140"/>
      <c r="B65" s="42">
        <v>46200</v>
      </c>
      <c r="C65" s="43">
        <v>8.3333333333333329E-2</v>
      </c>
      <c r="D65" s="44" t="s">
        <v>14</v>
      </c>
      <c r="E65" s="45" t="s">
        <v>49</v>
      </c>
      <c r="F65" s="41">
        <v>1</v>
      </c>
      <c r="G65" s="41">
        <v>2</v>
      </c>
      <c r="H65" s="46" t="s">
        <v>46</v>
      </c>
      <c r="J65" s="1" t="str">
        <f>IF(OR(Resultados!F65="",Resultados!G65=""),"",IF(AND(F65=Resultados!F65,G65=Resultados!G65),2,IF(((F65&gt;G65)=(Resultados!F65&gt;Resultados!G65))*((F65&lt;G65)=(Resultados!F65&lt;Resultados!G65)),1,0)))</f>
        <v/>
      </c>
    </row>
    <row r="66" spans="1:10" ht="16.2" thickBot="1" x14ac:dyDescent="0.35">
      <c r="A66" s="47"/>
      <c r="B66" s="48"/>
      <c r="C66" s="48"/>
      <c r="D66" s="48"/>
      <c r="E66" s="48"/>
      <c r="F66" s="48"/>
      <c r="G66" s="48"/>
      <c r="H66" s="49"/>
    </row>
    <row r="67" spans="1:10" ht="16.2" thickBot="1" x14ac:dyDescent="0.35">
      <c r="A67" s="50"/>
      <c r="B67" s="32" t="s">
        <v>1</v>
      </c>
      <c r="C67" s="32" t="s">
        <v>2</v>
      </c>
      <c r="D67" s="32" t="s">
        <v>3</v>
      </c>
      <c r="E67" s="33" t="s">
        <v>85</v>
      </c>
      <c r="F67" s="34" t="s">
        <v>5</v>
      </c>
      <c r="G67" s="34" t="s">
        <v>5</v>
      </c>
      <c r="H67" s="32" t="s">
        <v>86</v>
      </c>
    </row>
    <row r="68" spans="1:10" ht="16.2" thickBot="1" x14ac:dyDescent="0.35">
      <c r="A68" s="141" t="s">
        <v>50</v>
      </c>
      <c r="B68" s="35">
        <v>46189</v>
      </c>
      <c r="C68" s="36">
        <v>0.875</v>
      </c>
      <c r="D68" s="37" t="s">
        <v>8</v>
      </c>
      <c r="E68" s="38" t="s">
        <v>51</v>
      </c>
      <c r="F68" s="52">
        <v>2</v>
      </c>
      <c r="G68" s="52">
        <v>1</v>
      </c>
      <c r="H68" s="46" t="s">
        <v>52</v>
      </c>
      <c r="J68" s="1" t="str">
        <f>IF(OR(Resultados!F68="",Resultados!G68=""),"",IF(AND(F68=Resultados!F68,G68=Resultados!G68),2,IF(((F68&gt;G68)=(Resultados!F68&gt;Resultados!G68))*((F68&lt;G68)=(Resultados!F68&lt;Resultados!G68)),1,0)))</f>
        <v/>
      </c>
    </row>
    <row r="69" spans="1:10" ht="16.2" thickBot="1" x14ac:dyDescent="0.35">
      <c r="A69" s="142"/>
      <c r="B69" s="35">
        <v>46190</v>
      </c>
      <c r="C69" s="36">
        <v>0</v>
      </c>
      <c r="D69" s="37" t="s">
        <v>8</v>
      </c>
      <c r="E69" s="38" t="s">
        <v>53</v>
      </c>
      <c r="F69" s="52">
        <v>0</v>
      </c>
      <c r="G69" s="52">
        <v>2</v>
      </c>
      <c r="H69" s="46" t="s">
        <v>54</v>
      </c>
      <c r="J69" s="1" t="str">
        <f>IF(OR(Resultados!F69="",Resultados!G69=""),"",IF(AND(F69=Resultados!F69,G69=Resultados!G69),2,IF(((F69&gt;G69)=(Resultados!F69&gt;Resultados!G69))*((F69&lt;G69)=(Resultados!F69&lt;Resultados!G69)),1,0)))</f>
        <v/>
      </c>
    </row>
    <row r="70" spans="1:10" ht="16.2" thickBot="1" x14ac:dyDescent="0.35">
      <c r="A70" s="142"/>
      <c r="B70" s="35">
        <v>46195</v>
      </c>
      <c r="C70" s="36">
        <v>0.95833333333333337</v>
      </c>
      <c r="D70" s="37" t="s">
        <v>13</v>
      </c>
      <c r="E70" s="38" t="s">
        <v>51</v>
      </c>
      <c r="F70" s="41">
        <v>2</v>
      </c>
      <c r="G70" s="41">
        <v>0</v>
      </c>
      <c r="H70" s="46" t="s">
        <v>53</v>
      </c>
      <c r="J70" s="1" t="str">
        <f>IF(OR(Resultados!F70="",Resultados!G70=""),"",IF(AND(F70=Resultados!F70,G70=Resultados!G70),2,IF(((F70&gt;G70)=(Resultados!F70&gt;Resultados!G70))*((F70&lt;G70)=(Resultados!F70&lt;Resultados!G70)),1,0)))</f>
        <v/>
      </c>
    </row>
    <row r="71" spans="1:10" ht="16.2" thickBot="1" x14ac:dyDescent="0.35">
      <c r="A71" s="142"/>
      <c r="B71" s="35">
        <v>46196</v>
      </c>
      <c r="C71" s="36">
        <v>8.3333333333333329E-2</v>
      </c>
      <c r="D71" s="37" t="s">
        <v>13</v>
      </c>
      <c r="E71" s="38" t="s">
        <v>54</v>
      </c>
      <c r="F71" s="41">
        <v>2</v>
      </c>
      <c r="G71" s="41">
        <v>1</v>
      </c>
      <c r="H71" s="46" t="s">
        <v>52</v>
      </c>
      <c r="J71" s="1" t="str">
        <f>IF(OR(Resultados!F71="",Resultados!G71=""),"",IF(AND(F71=Resultados!F71,G71=Resultados!G71),2,IF(((F71&gt;G71)=(Resultados!F71&gt;Resultados!G71))*((F71&lt;G71)=(Resultados!F71&lt;Resultados!G71)),1,0)))</f>
        <v/>
      </c>
    </row>
    <row r="72" spans="1:10" ht="16.2" thickBot="1" x14ac:dyDescent="0.35">
      <c r="A72" s="142"/>
      <c r="B72" s="35">
        <v>46199</v>
      </c>
      <c r="C72" s="36">
        <v>0.875</v>
      </c>
      <c r="D72" s="37" t="s">
        <v>14</v>
      </c>
      <c r="E72" s="38" t="s">
        <v>54</v>
      </c>
      <c r="F72" s="41">
        <v>1</v>
      </c>
      <c r="G72" s="41">
        <v>2</v>
      </c>
      <c r="H72" s="46" t="s">
        <v>51</v>
      </c>
      <c r="J72" s="1" t="str">
        <f>IF(OR(Resultados!F72="",Resultados!G72=""),"",IF(AND(F72=Resultados!F72,G72=Resultados!G72),2,IF(((F72&gt;G72)=(Resultados!F72&gt;Resultados!G72))*((F72&lt;G72)=(Resultados!F72&lt;Resultados!G72)),1,0)))</f>
        <v/>
      </c>
    </row>
    <row r="73" spans="1:10" ht="16.2" thickBot="1" x14ac:dyDescent="0.35">
      <c r="A73" s="143"/>
      <c r="B73" s="42">
        <v>46199</v>
      </c>
      <c r="C73" s="43">
        <v>0.875</v>
      </c>
      <c r="D73" s="44" t="s">
        <v>14</v>
      </c>
      <c r="E73" s="45" t="s">
        <v>52</v>
      </c>
      <c r="F73" s="41">
        <v>2</v>
      </c>
      <c r="G73" s="41">
        <v>0</v>
      </c>
      <c r="H73" s="46" t="s">
        <v>53</v>
      </c>
      <c r="J73" s="1" t="str">
        <f>IF(OR(Resultados!F73="",Resultados!G73=""),"",IF(AND(F73=Resultados!F73,G73=Resultados!G73),2,IF(((F73&gt;G73)=(Resultados!F73&gt;Resultados!G73))*((F73&lt;G73)=(Resultados!F73&lt;Resultados!G73)),1,0)))</f>
        <v/>
      </c>
    </row>
    <row r="74" spans="1:10" ht="16.2" thickBot="1" x14ac:dyDescent="0.35">
      <c r="A74" s="47"/>
      <c r="B74" s="48"/>
      <c r="C74" s="48"/>
      <c r="D74" s="48"/>
      <c r="E74" s="48"/>
      <c r="F74" s="48"/>
      <c r="G74" s="48"/>
      <c r="H74" s="49"/>
    </row>
    <row r="75" spans="1:10" ht="16.2" thickBot="1" x14ac:dyDescent="0.35">
      <c r="A75" s="50"/>
      <c r="B75" s="32" t="s">
        <v>1</v>
      </c>
      <c r="C75" s="32" t="s">
        <v>2</v>
      </c>
      <c r="D75" s="32" t="s">
        <v>3</v>
      </c>
      <c r="E75" s="33" t="s">
        <v>85</v>
      </c>
      <c r="F75" s="34" t="s">
        <v>5</v>
      </c>
      <c r="G75" s="34" t="s">
        <v>5</v>
      </c>
      <c r="H75" s="32" t="s">
        <v>86</v>
      </c>
    </row>
    <row r="76" spans="1:10" ht="16.2" thickBot="1" x14ac:dyDescent="0.35">
      <c r="A76" s="144" t="s">
        <v>55</v>
      </c>
      <c r="B76" s="35">
        <v>46190</v>
      </c>
      <c r="C76" s="36">
        <v>0.125</v>
      </c>
      <c r="D76" s="37" t="s">
        <v>8</v>
      </c>
      <c r="E76" s="38" t="s">
        <v>56</v>
      </c>
      <c r="F76" s="52">
        <v>2</v>
      </c>
      <c r="G76" s="52">
        <v>0</v>
      </c>
      <c r="H76" s="46" t="s">
        <v>57</v>
      </c>
      <c r="J76" s="1" t="str">
        <f>IF(OR(Resultados!F76="",Resultados!G76=""),"",IF(AND(F76=Resultados!F76,G76=Resultados!G76),2,IF(((F76&gt;G76)=(Resultados!F76&gt;Resultados!G76))*((F76&lt;G76)=(Resultados!F76&lt;Resultados!G76)),1,0)))</f>
        <v/>
      </c>
    </row>
    <row r="77" spans="1:10" ht="16.2" thickBot="1" x14ac:dyDescent="0.35">
      <c r="A77" s="145"/>
      <c r="B77" s="35">
        <v>46190</v>
      </c>
      <c r="C77" s="36">
        <v>0.25</v>
      </c>
      <c r="D77" s="37" t="s">
        <v>8</v>
      </c>
      <c r="E77" s="38" t="s">
        <v>58</v>
      </c>
      <c r="F77" s="52">
        <v>2</v>
      </c>
      <c r="G77" s="52">
        <v>0</v>
      </c>
      <c r="H77" s="46" t="s">
        <v>59</v>
      </c>
      <c r="J77" s="1" t="str">
        <f>IF(OR(Resultados!F77="",Resultados!G77=""),"",IF(AND(F77=Resultados!F77,G77=Resultados!G77),2,IF(((F77&gt;G77)=(Resultados!F77&gt;Resultados!G77))*((F77&lt;G77)=(Resultados!F77&lt;Resultados!G77)),1,0)))</f>
        <v/>
      </c>
    </row>
    <row r="78" spans="1:10" ht="16.2" thickBot="1" x14ac:dyDescent="0.35">
      <c r="A78" s="145"/>
      <c r="B78" s="35">
        <v>46195</v>
      </c>
      <c r="C78" s="36">
        <v>0.79166666666666663</v>
      </c>
      <c r="D78" s="37" t="s">
        <v>13</v>
      </c>
      <c r="E78" s="38" t="s">
        <v>56</v>
      </c>
      <c r="F78" s="41">
        <v>2</v>
      </c>
      <c r="G78" s="41">
        <v>0</v>
      </c>
      <c r="H78" s="46" t="s">
        <v>58</v>
      </c>
      <c r="J78" s="1" t="str">
        <f>IF(OR(Resultados!F78="",Resultados!G78=""),"",IF(AND(F78=Resultados!F78,G78=Resultados!G78),2,IF(((F78&gt;G78)=(Resultados!F78&gt;Resultados!G78))*((F78&lt;G78)=(Resultados!F78&lt;Resultados!G78)),1,0)))</f>
        <v/>
      </c>
    </row>
    <row r="79" spans="1:10" ht="16.2" thickBot="1" x14ac:dyDescent="0.35">
      <c r="A79" s="145"/>
      <c r="B79" s="35">
        <v>46196</v>
      </c>
      <c r="C79" s="36">
        <v>0.20833333333333334</v>
      </c>
      <c r="D79" s="37" t="s">
        <v>13</v>
      </c>
      <c r="E79" s="38" t="s">
        <v>59</v>
      </c>
      <c r="F79" s="41">
        <v>0</v>
      </c>
      <c r="G79" s="41">
        <v>1</v>
      </c>
      <c r="H79" s="46" t="s">
        <v>57</v>
      </c>
      <c r="J79" s="1" t="str">
        <f>IF(OR(Resultados!F79="",Resultados!G79=""),"",IF(AND(F79=Resultados!F79,G79=Resultados!G79),2,IF(((F79&gt;G79)=(Resultados!F79&gt;Resultados!G79))*((F79&lt;G79)=(Resultados!F79&lt;Resultados!G79)),1,0)))</f>
        <v/>
      </c>
    </row>
    <row r="80" spans="1:10" ht="16.2" thickBot="1" x14ac:dyDescent="0.35">
      <c r="A80" s="145"/>
      <c r="B80" s="35">
        <v>46201</v>
      </c>
      <c r="C80" s="36">
        <v>0.16666666666666666</v>
      </c>
      <c r="D80" s="37" t="s">
        <v>14</v>
      </c>
      <c r="E80" s="38" t="s">
        <v>57</v>
      </c>
      <c r="F80" s="41">
        <v>1</v>
      </c>
      <c r="G80" s="41">
        <v>1</v>
      </c>
      <c r="H80" s="46" t="s">
        <v>58</v>
      </c>
      <c r="J80" s="1" t="str">
        <f>IF(OR(Resultados!F80="",Resultados!G80=""),"",IF(AND(F80=Resultados!F80,G80=Resultados!G80),2,IF(((F80&gt;G80)=(Resultados!F80&gt;Resultados!G80))*((F80&lt;G80)=(Resultados!F80&lt;Resultados!G80)),1,0)))</f>
        <v/>
      </c>
    </row>
    <row r="81" spans="1:10" ht="16.2" thickBot="1" x14ac:dyDescent="0.35">
      <c r="A81" s="146"/>
      <c r="B81" s="42">
        <v>46201</v>
      </c>
      <c r="C81" s="43">
        <v>0.16666666666666666</v>
      </c>
      <c r="D81" s="44" t="s">
        <v>14</v>
      </c>
      <c r="E81" s="45" t="s">
        <v>59</v>
      </c>
      <c r="F81" s="41">
        <v>0</v>
      </c>
      <c r="G81" s="41">
        <v>3</v>
      </c>
      <c r="H81" s="46" t="s">
        <v>56</v>
      </c>
      <c r="J81" s="1" t="str">
        <f>IF(OR(Resultados!F81="",Resultados!G81=""),"",IF(AND(F81=Resultados!F81,G81=Resultados!G81),2,IF(((F81&gt;G81)=(Resultados!F81&gt;Resultados!G81))*((F81&lt;G81)=(Resultados!F81&lt;Resultados!G81)),1,0)))</f>
        <v/>
      </c>
    </row>
    <row r="82" spans="1:10" ht="14.4" customHeight="1" thickBot="1" x14ac:dyDescent="0.35">
      <c r="A82" s="53"/>
      <c r="B82" s="53"/>
      <c r="C82" s="53"/>
      <c r="D82" s="53"/>
      <c r="E82" s="53"/>
      <c r="F82" s="53"/>
      <c r="G82" s="53"/>
      <c r="H82" s="54"/>
    </row>
    <row r="83" spans="1:10" ht="16.2" thickBot="1" x14ac:dyDescent="0.35">
      <c r="A83" s="50"/>
      <c r="B83" s="32" t="s">
        <v>1</v>
      </c>
      <c r="C83" s="32" t="s">
        <v>2</v>
      </c>
      <c r="D83" s="32" t="s">
        <v>3</v>
      </c>
      <c r="E83" s="33" t="s">
        <v>85</v>
      </c>
      <c r="F83" s="34" t="s">
        <v>5</v>
      </c>
      <c r="G83" s="34" t="s">
        <v>5</v>
      </c>
      <c r="H83" s="32" t="s">
        <v>86</v>
      </c>
    </row>
    <row r="84" spans="1:10" ht="16.2" thickBot="1" x14ac:dyDescent="0.35">
      <c r="A84" s="123" t="s">
        <v>60</v>
      </c>
      <c r="B84" s="35">
        <v>46190</v>
      </c>
      <c r="C84" s="36">
        <v>0.79166666666666663</v>
      </c>
      <c r="D84" s="37" t="s">
        <v>8</v>
      </c>
      <c r="E84" s="38" t="s">
        <v>61</v>
      </c>
      <c r="F84" s="52">
        <v>2</v>
      </c>
      <c r="G84" s="52">
        <v>0</v>
      </c>
      <c r="H84" s="46" t="s">
        <v>62</v>
      </c>
      <c r="J84" s="1" t="str">
        <f>IF(OR(Resultados!F84="",Resultados!G84=""),"",IF(AND(F84=Resultados!F84,G84=Resultados!G84),2,IF(((F84&gt;G84)=(Resultados!F84&gt;Resultados!G84))*((F84&lt;G84)=(Resultados!F84&lt;Resultados!G84)),1,0)))</f>
        <v/>
      </c>
    </row>
    <row r="85" spans="1:10" ht="16.2" thickBot="1" x14ac:dyDescent="0.35">
      <c r="A85" s="124"/>
      <c r="B85" s="35">
        <v>46191</v>
      </c>
      <c r="C85" s="36">
        <v>0.16666666666666666</v>
      </c>
      <c r="D85" s="37" t="s">
        <v>8</v>
      </c>
      <c r="E85" s="38" t="s">
        <v>63</v>
      </c>
      <c r="F85" s="52">
        <v>1</v>
      </c>
      <c r="G85" s="52">
        <v>2</v>
      </c>
      <c r="H85" s="46" t="s">
        <v>64</v>
      </c>
      <c r="J85" s="1" t="str">
        <f>IF(OR(Resultados!F85="",Resultados!G85=""),"",IF(AND(F85=Resultados!F85,G85=Resultados!G85),2,IF(((F85&gt;G85)=(Resultados!F85&gt;Resultados!G85))*((F85&lt;G85)=(Resultados!F85&lt;Resultados!G85)),1,0)))</f>
        <v/>
      </c>
    </row>
    <row r="86" spans="1:10" ht="16.2" thickBot="1" x14ac:dyDescent="0.35">
      <c r="A86" s="124"/>
      <c r="B86" s="35">
        <v>46196</v>
      </c>
      <c r="C86" s="36">
        <v>0.79166666666666663</v>
      </c>
      <c r="D86" s="37" t="s">
        <v>13</v>
      </c>
      <c r="E86" s="38" t="s">
        <v>61</v>
      </c>
      <c r="F86" s="41">
        <v>2</v>
      </c>
      <c r="G86" s="41">
        <v>0</v>
      </c>
      <c r="H86" s="46" t="s">
        <v>63</v>
      </c>
      <c r="J86" s="1" t="str">
        <f>IF(OR(Resultados!F86="",Resultados!G86=""),"",IF(AND(F86=Resultados!F86,G86=Resultados!G86),2,IF(((F86&gt;G86)=(Resultados!F86&gt;Resultados!G86))*((F86&lt;G86)=(Resultados!F86&lt;Resultados!G86)),1,0)))</f>
        <v/>
      </c>
    </row>
    <row r="87" spans="1:10" ht="16.2" thickBot="1" x14ac:dyDescent="0.35">
      <c r="A87" s="124"/>
      <c r="B87" s="35">
        <v>46197</v>
      </c>
      <c r="C87" s="36">
        <v>0.16666666666666666</v>
      </c>
      <c r="D87" s="37" t="s">
        <v>13</v>
      </c>
      <c r="E87" s="38" t="s">
        <v>64</v>
      </c>
      <c r="F87" s="41">
        <v>2</v>
      </c>
      <c r="G87" s="41">
        <v>0</v>
      </c>
      <c r="H87" s="46" t="s">
        <v>62</v>
      </c>
      <c r="J87" s="1" t="str">
        <f>IF(OR(Resultados!F87="",Resultados!G87=""),"",IF(AND(F87=Resultados!F87,G87=Resultados!G87),2,IF(((F87&gt;G87)=(Resultados!F87&gt;Resultados!G87))*((F87&lt;G87)=(Resultados!F87&lt;Resultados!G87)),1,0)))</f>
        <v/>
      </c>
    </row>
    <row r="88" spans="1:10" ht="16.2" thickBot="1" x14ac:dyDescent="0.35">
      <c r="A88" s="124"/>
      <c r="B88" s="35">
        <v>46201</v>
      </c>
      <c r="C88" s="36">
        <v>6.25E-2</v>
      </c>
      <c r="D88" s="37" t="s">
        <v>14</v>
      </c>
      <c r="E88" s="38" t="s">
        <v>64</v>
      </c>
      <c r="F88" s="41">
        <v>1</v>
      </c>
      <c r="G88" s="41">
        <v>2</v>
      </c>
      <c r="H88" s="46" t="s">
        <v>61</v>
      </c>
      <c r="J88" s="1" t="str">
        <f>IF(OR(Resultados!F88="",Resultados!G88=""),"",IF(AND(F88=Resultados!F88,G88=Resultados!G88),2,IF(((F88&gt;G88)=(Resultados!F88&gt;Resultados!G88))*((F88&lt;G88)=(Resultados!F88&lt;Resultados!G88)),1,0)))</f>
        <v/>
      </c>
    </row>
    <row r="89" spans="1:10" ht="16.2" thickBot="1" x14ac:dyDescent="0.35">
      <c r="A89" s="125"/>
      <c r="B89" s="42">
        <v>46201</v>
      </c>
      <c r="C89" s="43">
        <v>6.25E-2</v>
      </c>
      <c r="D89" s="44" t="s">
        <v>14</v>
      </c>
      <c r="E89" s="45" t="s">
        <v>62</v>
      </c>
      <c r="F89" s="41">
        <v>1</v>
      </c>
      <c r="G89" s="41">
        <v>1</v>
      </c>
      <c r="H89" s="46" t="s">
        <v>63</v>
      </c>
      <c r="J89" s="1" t="str">
        <f>IF(OR(Resultados!F89="",Resultados!G89=""),"",IF(AND(F89=Resultados!F89,G89=Resultados!G89),2,IF(((F89&gt;G89)=(Resultados!F89&gt;Resultados!G89))*((F89&lt;G89)=(Resultados!F89&lt;Resultados!G89)),1,0)))</f>
        <v/>
      </c>
    </row>
    <row r="90" spans="1:10" ht="16.2" thickBot="1" x14ac:dyDescent="0.35">
      <c r="A90" s="47"/>
      <c r="B90" s="48"/>
      <c r="C90" s="48"/>
      <c r="D90" s="48"/>
      <c r="E90" s="48"/>
      <c r="F90" s="48"/>
      <c r="G90" s="48"/>
      <c r="H90" s="49"/>
    </row>
    <row r="91" spans="1:10" ht="16.2" thickBot="1" x14ac:dyDescent="0.35">
      <c r="A91" s="50"/>
      <c r="B91" s="32" t="s">
        <v>1</v>
      </c>
      <c r="C91" s="32" t="s">
        <v>2</v>
      </c>
      <c r="D91" s="32" t="s">
        <v>3</v>
      </c>
      <c r="E91" s="33" t="s">
        <v>85</v>
      </c>
      <c r="F91" s="34" t="s">
        <v>5</v>
      </c>
      <c r="G91" s="34" t="s">
        <v>5</v>
      </c>
      <c r="H91" s="32" t="s">
        <v>86</v>
      </c>
    </row>
    <row r="92" spans="1:10" ht="16.2" thickBot="1" x14ac:dyDescent="0.35">
      <c r="A92" s="126" t="s">
        <v>65</v>
      </c>
      <c r="B92" s="35">
        <v>46190</v>
      </c>
      <c r="C92" s="36">
        <v>0.91666666666666663</v>
      </c>
      <c r="D92" s="37" t="s">
        <v>8</v>
      </c>
      <c r="E92" s="38" t="s">
        <v>66</v>
      </c>
      <c r="F92" s="52">
        <v>1</v>
      </c>
      <c r="G92" s="52">
        <v>1</v>
      </c>
      <c r="H92" s="46" t="s">
        <v>67</v>
      </c>
      <c r="J92" s="1" t="str">
        <f>IF(OR(Resultados!F92="",Resultados!G92=""),"",IF(AND(F92=Resultados!F92,G92=Resultados!G92),2,IF(((F92&gt;G92)=(Resultados!F92&gt;Resultados!G92))*((F92&lt;G92)=(Resultados!F92&lt;Resultados!G92)),1,0)))</f>
        <v/>
      </c>
    </row>
    <row r="93" spans="1:10" ht="16.2" thickBot="1" x14ac:dyDescent="0.35">
      <c r="A93" s="127"/>
      <c r="B93" s="35">
        <v>46191</v>
      </c>
      <c r="C93" s="36">
        <v>4.1666666666666664E-2</v>
      </c>
      <c r="D93" s="37" t="s">
        <v>8</v>
      </c>
      <c r="E93" s="38" t="s">
        <v>68</v>
      </c>
      <c r="F93" s="52">
        <v>1</v>
      </c>
      <c r="G93" s="52">
        <v>0</v>
      </c>
      <c r="H93" s="46" t="s">
        <v>69</v>
      </c>
      <c r="J93" s="1" t="str">
        <f>IF(OR(Resultados!F93="",Resultados!G93=""),"",IF(AND(F93=Resultados!F93,G93=Resultados!G93),2,IF(((F93&gt;G93)=(Resultados!F93&gt;Resultados!G93))*((F93&lt;G93)=(Resultados!F93&lt;Resultados!G93)),1,0)))</f>
        <v/>
      </c>
    </row>
    <row r="94" spans="1:10" ht="16.2" thickBot="1" x14ac:dyDescent="0.35">
      <c r="A94" s="127"/>
      <c r="B94" s="35">
        <v>46196</v>
      </c>
      <c r="C94" s="36">
        <v>0.91666666666666663</v>
      </c>
      <c r="D94" s="37" t="s">
        <v>13</v>
      </c>
      <c r="E94" s="38" t="s">
        <v>66</v>
      </c>
      <c r="F94" s="41">
        <v>2</v>
      </c>
      <c r="G94" s="41">
        <v>0</v>
      </c>
      <c r="H94" s="46" t="s">
        <v>68</v>
      </c>
      <c r="J94" s="1" t="str">
        <f>IF(OR(Resultados!F94="",Resultados!G94=""),"",IF(AND(F94=Resultados!F94,G94=Resultados!G94),2,IF(((F94&gt;G94)=(Resultados!F94&gt;Resultados!G94))*((F94&lt;G94)=(Resultados!F94&lt;Resultados!G94)),1,0)))</f>
        <v/>
      </c>
    </row>
    <row r="95" spans="1:10" ht="16.2" thickBot="1" x14ac:dyDescent="0.35">
      <c r="A95" s="127"/>
      <c r="B95" s="35">
        <v>46197</v>
      </c>
      <c r="C95" s="36">
        <v>4.1666666666666664E-2</v>
      </c>
      <c r="D95" s="37" t="s">
        <v>13</v>
      </c>
      <c r="E95" s="38" t="s">
        <v>69</v>
      </c>
      <c r="F95" s="41">
        <v>0</v>
      </c>
      <c r="G95" s="41">
        <v>2</v>
      </c>
      <c r="H95" s="46" t="s">
        <v>67</v>
      </c>
      <c r="J95" s="1" t="str">
        <f>IF(OR(Resultados!F95="",Resultados!G95=""),"",IF(AND(F95=Resultados!F95,G95=Resultados!G95),2,IF(((F95&gt;G95)=(Resultados!F95&gt;Resultados!G95))*((F95&lt;G95)=(Resultados!F95&lt;Resultados!G95)),1,0)))</f>
        <v/>
      </c>
    </row>
    <row r="96" spans="1:10" ht="16.2" thickBot="1" x14ac:dyDescent="0.35">
      <c r="A96" s="127"/>
      <c r="B96" s="35">
        <v>46200</v>
      </c>
      <c r="C96" s="36">
        <v>0.95833333333333337</v>
      </c>
      <c r="D96" s="37" t="s">
        <v>14</v>
      </c>
      <c r="E96" s="38" t="s">
        <v>69</v>
      </c>
      <c r="F96" s="41">
        <v>0</v>
      </c>
      <c r="G96" s="41">
        <v>2</v>
      </c>
      <c r="H96" s="46" t="s">
        <v>66</v>
      </c>
      <c r="J96" s="1" t="str">
        <f>IF(OR(Resultados!F96="",Resultados!G96=""),"",IF(AND(F96=Resultados!F96,G96=Resultados!G96),2,IF(((F96&gt;G96)=(Resultados!F96&gt;Resultados!G96))*((F96&lt;G96)=(Resultados!F96&lt;Resultados!G96)),1,0)))</f>
        <v/>
      </c>
    </row>
    <row r="97" spans="1:10" ht="16.2" thickBot="1" x14ac:dyDescent="0.35">
      <c r="A97" s="128"/>
      <c r="B97" s="42">
        <v>46200</v>
      </c>
      <c r="C97" s="43">
        <v>0.95833333333333337</v>
      </c>
      <c r="D97" s="44" t="s">
        <v>14</v>
      </c>
      <c r="E97" s="45" t="s">
        <v>67</v>
      </c>
      <c r="F97" s="41">
        <v>2</v>
      </c>
      <c r="G97" s="41">
        <v>1</v>
      </c>
      <c r="H97" s="46" t="s">
        <v>68</v>
      </c>
      <c r="J97" s="1" t="str">
        <f>IF(OR(Resultados!F97="",Resultados!G97=""),"",IF(AND(F97=Resultados!F97,G97=Resultados!G97),2,IF(((F97&gt;G97)=(Resultados!F97&gt;Resultados!G97))*((F97&lt;G97)=(Resultados!F97&lt;Resultados!G97)),1,0)))</f>
        <v/>
      </c>
    </row>
  </sheetData>
  <mergeCells count="14">
    <mergeCell ref="A84:A89"/>
    <mergeCell ref="A92:A97"/>
    <mergeCell ref="A36:A41"/>
    <mergeCell ref="A44:A49"/>
    <mergeCell ref="A52:A57"/>
    <mergeCell ref="A60:A65"/>
    <mergeCell ref="A68:A73"/>
    <mergeCell ref="A76:A81"/>
    <mergeCell ref="A28:A33"/>
    <mergeCell ref="A1:H1"/>
    <mergeCell ref="A2:H2"/>
    <mergeCell ref="A4:A9"/>
    <mergeCell ref="A12:A17"/>
    <mergeCell ref="A20:A25"/>
  </mergeCells>
  <pageMargins left="0.7" right="0.7" top="0.75" bottom="0.75" header="0.3" footer="0.3"/>
  <ignoredErrors>
    <ignoredError sqref="J1:J1048576 L4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433A7-73EF-4672-B037-D80E693A7DCC}">
  <dimension ref="A1:L97"/>
  <sheetViews>
    <sheetView topLeftCell="A34" zoomScale="115" zoomScaleNormal="115" workbookViewId="0">
      <selection activeCell="F37" sqref="F37"/>
    </sheetView>
  </sheetViews>
  <sheetFormatPr baseColWidth="10" defaultRowHeight="15.6" x14ac:dyDescent="0.3"/>
  <cols>
    <col min="1" max="1" width="2.5546875" style="1" bestFit="1" customWidth="1"/>
    <col min="2" max="2" width="11.21875" style="1" bestFit="1" customWidth="1"/>
    <col min="3" max="3" width="6" style="1" bestFit="1" customWidth="1"/>
    <col min="4" max="4" width="4.5546875" style="1" bestFit="1" customWidth="1"/>
    <col min="5" max="5" width="21.6640625" style="2" bestFit="1" customWidth="1"/>
    <col min="6" max="7" width="4.33203125" style="2" bestFit="1" customWidth="1"/>
    <col min="8" max="8" width="21.6640625" style="1" bestFit="1" customWidth="1"/>
    <col min="9" max="9" width="6.109375" style="1" customWidth="1"/>
    <col min="10" max="10" width="7.77734375" style="1" bestFit="1" customWidth="1"/>
    <col min="11" max="11" width="6.109375" style="1" customWidth="1"/>
    <col min="12" max="12" width="6.5546875" style="1" bestFit="1" customWidth="1"/>
    <col min="13" max="16384" width="11.5546875" style="1"/>
  </cols>
  <sheetData>
    <row r="1" spans="1:12" ht="25.8" thickBot="1" x14ac:dyDescent="0.35">
      <c r="A1" s="63" t="s">
        <v>0</v>
      </c>
      <c r="B1" s="64"/>
      <c r="C1" s="64"/>
      <c r="D1" s="64"/>
      <c r="E1" s="64"/>
      <c r="F1" s="64"/>
      <c r="G1" s="64"/>
      <c r="H1" s="65"/>
    </row>
    <row r="2" spans="1:12" ht="16.2" thickBot="1" x14ac:dyDescent="0.35">
      <c r="A2" s="66"/>
      <c r="B2" s="67"/>
      <c r="C2" s="67"/>
      <c r="D2" s="67"/>
      <c r="E2" s="67"/>
      <c r="F2" s="67"/>
      <c r="G2" s="67"/>
      <c r="H2" s="68"/>
    </row>
    <row r="3" spans="1:12" s="2" customFormat="1" ht="16.2" thickBot="1" x14ac:dyDescent="0.35">
      <c r="A3" s="31"/>
      <c r="B3" s="32" t="s">
        <v>1</v>
      </c>
      <c r="C3" s="32" t="s">
        <v>2</v>
      </c>
      <c r="D3" s="32" t="s">
        <v>3</v>
      </c>
      <c r="E3" s="33" t="s">
        <v>4</v>
      </c>
      <c r="F3" s="34" t="s">
        <v>5</v>
      </c>
      <c r="G3" s="34" t="s">
        <v>5</v>
      </c>
      <c r="H3" s="32" t="s">
        <v>6</v>
      </c>
      <c r="J3" s="30" t="s">
        <v>71</v>
      </c>
      <c r="L3" s="2" t="s">
        <v>73</v>
      </c>
    </row>
    <row r="4" spans="1:12" ht="16.2" thickBot="1" x14ac:dyDescent="0.35">
      <c r="A4" s="114" t="s">
        <v>7</v>
      </c>
      <c r="B4" s="35">
        <v>46184</v>
      </c>
      <c r="C4" s="36">
        <v>0.875</v>
      </c>
      <c r="D4" s="37" t="s">
        <v>8</v>
      </c>
      <c r="E4" s="38" t="s">
        <v>9</v>
      </c>
      <c r="F4" s="39">
        <v>2</v>
      </c>
      <c r="G4" s="39">
        <v>0</v>
      </c>
      <c r="H4" s="40" t="s">
        <v>10</v>
      </c>
      <c r="L4" s="1">
        <f>SUM(J:J)</f>
        <v>4</v>
      </c>
    </row>
    <row r="5" spans="1:12" ht="16.2" thickBot="1" x14ac:dyDescent="0.35">
      <c r="A5" s="115"/>
      <c r="B5" s="35">
        <v>46185</v>
      </c>
      <c r="C5" s="36">
        <v>0.16666666666666666</v>
      </c>
      <c r="D5" s="37" t="s">
        <v>8</v>
      </c>
      <c r="E5" s="38" t="s">
        <v>11</v>
      </c>
      <c r="F5" s="39">
        <v>2</v>
      </c>
      <c r="G5" s="39">
        <v>1</v>
      </c>
      <c r="H5" s="40" t="s">
        <v>12</v>
      </c>
    </row>
    <row r="6" spans="1:12" ht="16.2" thickBot="1" x14ac:dyDescent="0.35">
      <c r="A6" s="115"/>
      <c r="B6" s="35">
        <v>46191</v>
      </c>
      <c r="C6" s="36">
        <v>0.75</v>
      </c>
      <c r="D6" s="37" t="s">
        <v>13</v>
      </c>
      <c r="E6" s="38" t="s">
        <v>12</v>
      </c>
      <c r="F6" s="41">
        <v>2</v>
      </c>
      <c r="G6" s="41">
        <v>0</v>
      </c>
      <c r="H6" s="40" t="s">
        <v>10</v>
      </c>
      <c r="J6" s="1" t="str">
        <f>IF(OR(Resultados!F6="",Resultados!G6=""),"",IF(AND(F6=Resultados!F6,G6=Resultados!G6),2,IF(((F6&gt;G6)=(Resultados!F6&gt;Resultados!G6))*((F6&lt;G6)=(Resultados!F6&lt;Resultados!G6)),1,0)))</f>
        <v/>
      </c>
    </row>
    <row r="7" spans="1:12" ht="16.2" thickBot="1" x14ac:dyDescent="0.35">
      <c r="A7" s="115"/>
      <c r="B7" s="35">
        <v>46192</v>
      </c>
      <c r="C7" s="36">
        <v>0.125</v>
      </c>
      <c r="D7" s="37" t="s">
        <v>13</v>
      </c>
      <c r="E7" s="38" t="s">
        <v>9</v>
      </c>
      <c r="F7" s="41">
        <v>3</v>
      </c>
      <c r="G7" s="41">
        <v>1</v>
      </c>
      <c r="H7" s="40" t="s">
        <v>11</v>
      </c>
      <c r="J7" s="1" t="str">
        <f>IF(OR(Resultados!F7="",Resultados!G7=""),"",IF(AND(F7=Resultados!F7,G7=Resultados!G7),2,IF(((F7&gt;G7)=(Resultados!F7&gt;Resultados!G7))*((F7&lt;G7)=(Resultados!F7&lt;Resultados!G7)),1,0)))</f>
        <v/>
      </c>
    </row>
    <row r="8" spans="1:12" ht="16.2" thickBot="1" x14ac:dyDescent="0.35">
      <c r="A8" s="115"/>
      <c r="B8" s="35">
        <v>46198</v>
      </c>
      <c r="C8" s="36">
        <v>0.125</v>
      </c>
      <c r="D8" s="37" t="s">
        <v>14</v>
      </c>
      <c r="E8" s="38" t="s">
        <v>12</v>
      </c>
      <c r="F8" s="41">
        <v>1</v>
      </c>
      <c r="G8" s="41">
        <v>2</v>
      </c>
      <c r="H8" s="40" t="s">
        <v>9</v>
      </c>
      <c r="J8" s="1" t="str">
        <f>IF(OR(Resultados!F8="",Resultados!G8=""),"",IF(AND(F8=Resultados!F8,G8=Resultados!G8),2,IF(((F8&gt;G8)=(Resultados!F8&gt;Resultados!G8))*((F8&lt;G8)=(Resultados!F8&lt;Resultados!G8)),1,0)))</f>
        <v/>
      </c>
    </row>
    <row r="9" spans="1:12" ht="16.2" thickBot="1" x14ac:dyDescent="0.35">
      <c r="A9" s="116"/>
      <c r="B9" s="42">
        <v>46198</v>
      </c>
      <c r="C9" s="43">
        <v>0.125</v>
      </c>
      <c r="D9" s="44" t="s">
        <v>14</v>
      </c>
      <c r="E9" s="45" t="s">
        <v>10</v>
      </c>
      <c r="F9" s="41">
        <v>1</v>
      </c>
      <c r="G9" s="41">
        <v>1</v>
      </c>
      <c r="H9" s="46" t="s">
        <v>11</v>
      </c>
      <c r="J9" s="1" t="str">
        <f>IF(OR(Resultados!F9="",Resultados!G9=""),"",IF(AND(F9=Resultados!F9,G9=Resultados!G9),2,IF(((F9&gt;G9)=(Resultados!F9&gt;Resultados!G9))*((F9&lt;G9)=(Resultados!F9&lt;Resultados!G9)),1,0)))</f>
        <v/>
      </c>
    </row>
    <row r="10" spans="1:12" ht="16.2" thickBot="1" x14ac:dyDescent="0.35">
      <c r="A10" s="47"/>
      <c r="B10" s="48"/>
      <c r="C10" s="48"/>
      <c r="D10" s="48"/>
      <c r="E10" s="48"/>
      <c r="F10" s="48"/>
      <c r="G10" s="48"/>
      <c r="H10" s="49"/>
    </row>
    <row r="11" spans="1:12" ht="16.2" thickBot="1" x14ac:dyDescent="0.35">
      <c r="A11" s="50"/>
      <c r="B11" s="32" t="s">
        <v>1</v>
      </c>
      <c r="C11" s="32" t="s">
        <v>2</v>
      </c>
      <c r="D11" s="32" t="s">
        <v>3</v>
      </c>
      <c r="E11" s="33" t="s">
        <v>4</v>
      </c>
      <c r="F11" s="34" t="s">
        <v>5</v>
      </c>
      <c r="G11" s="34" t="s">
        <v>5</v>
      </c>
      <c r="H11" s="51" t="s">
        <v>6</v>
      </c>
    </row>
    <row r="12" spans="1:12" ht="16.2" thickBot="1" x14ac:dyDescent="0.35">
      <c r="A12" s="117" t="s">
        <v>15</v>
      </c>
      <c r="B12" s="35">
        <v>46185</v>
      </c>
      <c r="C12" s="36">
        <v>0.875</v>
      </c>
      <c r="D12" s="37" t="s">
        <v>8</v>
      </c>
      <c r="E12" s="38" t="s">
        <v>16</v>
      </c>
      <c r="F12" s="39">
        <v>1</v>
      </c>
      <c r="G12" s="39">
        <v>1</v>
      </c>
      <c r="H12" s="46" t="s">
        <v>17</v>
      </c>
    </row>
    <row r="13" spans="1:12" ht="16.2" thickBot="1" x14ac:dyDescent="0.35">
      <c r="A13" s="118"/>
      <c r="B13" s="35">
        <v>46186</v>
      </c>
      <c r="C13" s="36">
        <v>0.875</v>
      </c>
      <c r="D13" s="37" t="s">
        <v>8</v>
      </c>
      <c r="E13" s="38" t="s">
        <v>18</v>
      </c>
      <c r="F13" s="39">
        <v>1</v>
      </c>
      <c r="G13" s="39">
        <v>1</v>
      </c>
      <c r="H13" s="46" t="s">
        <v>19</v>
      </c>
    </row>
    <row r="14" spans="1:12" ht="16.2" thickBot="1" x14ac:dyDescent="0.35">
      <c r="A14" s="118"/>
      <c r="B14" s="35">
        <v>46191</v>
      </c>
      <c r="C14" s="36">
        <v>0.875</v>
      </c>
      <c r="D14" s="37" t="s">
        <v>13</v>
      </c>
      <c r="E14" s="38" t="s">
        <v>19</v>
      </c>
      <c r="F14" s="41">
        <v>1</v>
      </c>
      <c r="G14" s="41">
        <v>0</v>
      </c>
      <c r="H14" s="46" t="s">
        <v>17</v>
      </c>
      <c r="J14" s="1" t="str">
        <f>IF(OR(Resultados!F14="",Resultados!G14=""),"",IF(AND(F14=Resultados!F14,G14=Resultados!G14),2,IF(((F14&gt;G14)=(Resultados!F14&gt;Resultados!G14))*((F14&lt;G14)=(Resultados!F14&lt;Resultados!G14)),1,0)))</f>
        <v/>
      </c>
    </row>
    <row r="15" spans="1:12" ht="16.2" thickBot="1" x14ac:dyDescent="0.35">
      <c r="A15" s="118"/>
      <c r="B15" s="35">
        <v>46192</v>
      </c>
      <c r="C15" s="36">
        <v>0</v>
      </c>
      <c r="D15" s="37" t="s">
        <v>13</v>
      </c>
      <c r="E15" s="38" t="s">
        <v>16</v>
      </c>
      <c r="F15" s="41">
        <v>2</v>
      </c>
      <c r="G15" s="41">
        <v>1</v>
      </c>
      <c r="H15" s="46" t="s">
        <v>18</v>
      </c>
      <c r="J15" s="1" t="str">
        <f>IF(OR(Resultados!F15="",Resultados!G15=""),"",IF(AND(F15=Resultados!F15,G15=Resultados!G15),2,IF(((F15&gt;G15)=(Resultados!F15&gt;Resultados!G15))*((F15&lt;G15)=(Resultados!F15&lt;Resultados!G15)),1,0)))</f>
        <v/>
      </c>
    </row>
    <row r="16" spans="1:12" ht="16.2" thickBot="1" x14ac:dyDescent="0.35">
      <c r="A16" s="118"/>
      <c r="B16" s="35">
        <v>46197</v>
      </c>
      <c r="C16" s="36">
        <v>0.875</v>
      </c>
      <c r="D16" s="37" t="s">
        <v>14</v>
      </c>
      <c r="E16" s="38" t="s">
        <v>19</v>
      </c>
      <c r="F16" s="41">
        <v>0</v>
      </c>
      <c r="G16" s="41">
        <v>2</v>
      </c>
      <c r="H16" s="46" t="s">
        <v>16</v>
      </c>
      <c r="J16" s="1" t="str">
        <f>IF(OR(Resultados!F16="",Resultados!G16=""),"",IF(AND(F16=Resultados!F16,G16=Resultados!G16),2,IF(((F16&gt;G16)=(Resultados!F16&gt;Resultados!G16))*((F16&lt;G16)=(Resultados!F16&lt;Resultados!G16)),1,0)))</f>
        <v/>
      </c>
    </row>
    <row r="17" spans="1:10" ht="16.2" thickBot="1" x14ac:dyDescent="0.35">
      <c r="A17" s="119"/>
      <c r="B17" s="42">
        <v>46197</v>
      </c>
      <c r="C17" s="43">
        <v>0.875</v>
      </c>
      <c r="D17" s="44" t="s">
        <v>14</v>
      </c>
      <c r="E17" s="45" t="s">
        <v>17</v>
      </c>
      <c r="F17" s="41">
        <v>0</v>
      </c>
      <c r="G17" s="41">
        <v>1</v>
      </c>
      <c r="H17" s="46" t="s">
        <v>18</v>
      </c>
      <c r="J17" s="1" t="str">
        <f>IF(OR(Resultados!F17="",Resultados!G17=""),"",IF(AND(F17=Resultados!F17,G17=Resultados!G17),2,IF(((F17&gt;G17)=(Resultados!F17&gt;Resultados!G17))*((F17&lt;G17)=(Resultados!F17&lt;Resultados!G17)),1,0)))</f>
        <v/>
      </c>
    </row>
    <row r="18" spans="1:10" ht="16.2" thickBot="1" x14ac:dyDescent="0.35">
      <c r="A18" s="47"/>
      <c r="B18" s="48"/>
      <c r="C18" s="48"/>
      <c r="D18" s="48"/>
      <c r="E18" s="48"/>
      <c r="F18" s="48"/>
      <c r="G18" s="48"/>
      <c r="H18" s="49"/>
    </row>
    <row r="19" spans="1:10" ht="16.2" thickBot="1" x14ac:dyDescent="0.35">
      <c r="A19" s="50"/>
      <c r="B19" s="32" t="s">
        <v>1</v>
      </c>
      <c r="C19" s="32" t="s">
        <v>2</v>
      </c>
      <c r="D19" s="32" t="s">
        <v>3</v>
      </c>
      <c r="E19" s="33" t="s">
        <v>4</v>
      </c>
      <c r="F19" s="34" t="s">
        <v>5</v>
      </c>
      <c r="G19" s="34" t="s">
        <v>5</v>
      </c>
      <c r="H19" s="51" t="s">
        <v>6</v>
      </c>
    </row>
    <row r="20" spans="1:10" ht="16.2" thickBot="1" x14ac:dyDescent="0.35">
      <c r="A20" s="120" t="s">
        <v>20</v>
      </c>
      <c r="B20" s="35">
        <v>46187</v>
      </c>
      <c r="C20" s="36">
        <v>0</v>
      </c>
      <c r="D20" s="37" t="s">
        <v>8</v>
      </c>
      <c r="E20" s="38" t="s">
        <v>21</v>
      </c>
      <c r="F20" s="39">
        <v>1</v>
      </c>
      <c r="G20" s="39">
        <v>1</v>
      </c>
      <c r="H20" s="46" t="s">
        <v>22</v>
      </c>
    </row>
    <row r="21" spans="1:10" ht="16.2" thickBot="1" x14ac:dyDescent="0.35">
      <c r="A21" s="121"/>
      <c r="B21" s="35">
        <v>46187</v>
      </c>
      <c r="C21" s="36">
        <v>0.125</v>
      </c>
      <c r="D21" s="37" t="s">
        <v>8</v>
      </c>
      <c r="E21" s="38" t="s">
        <v>23</v>
      </c>
      <c r="F21" s="52">
        <v>0</v>
      </c>
      <c r="G21" s="52">
        <v>2</v>
      </c>
      <c r="H21" s="46" t="s">
        <v>24</v>
      </c>
      <c r="J21" s="1">
        <f>IF(OR(Resultados!F21="",Resultados!G21=""),"",IF(AND(F21=Resultados!F21,G21=Resultados!G21),2,IF(((F21&gt;G21)=(Resultados!F21&gt;Resultados!G21))*((F21&lt;G21)=(Resultados!F21&lt;Resultados!G21)),1,0)))</f>
        <v>1</v>
      </c>
    </row>
    <row r="22" spans="1:10" ht="16.2" thickBot="1" x14ac:dyDescent="0.35">
      <c r="A22" s="121"/>
      <c r="B22" s="35">
        <v>46193</v>
      </c>
      <c r="C22" s="36">
        <v>0</v>
      </c>
      <c r="D22" s="37" t="s">
        <v>13</v>
      </c>
      <c r="E22" s="38" t="s">
        <v>24</v>
      </c>
      <c r="F22" s="41">
        <v>1</v>
      </c>
      <c r="G22" s="41">
        <v>1</v>
      </c>
      <c r="H22" s="46" t="s">
        <v>22</v>
      </c>
      <c r="J22" s="1" t="str">
        <f>IF(OR(Resultados!F22="",Resultados!G22=""),"",IF(AND(F22=Resultados!F22,G22=Resultados!G22),2,IF(((F22&gt;G22)=(Resultados!F22&gt;Resultados!G22))*((F22&lt;G22)=(Resultados!F22&lt;Resultados!G22)),1,0)))</f>
        <v/>
      </c>
    </row>
    <row r="23" spans="1:10" ht="16.2" thickBot="1" x14ac:dyDescent="0.35">
      <c r="A23" s="121"/>
      <c r="B23" s="35">
        <v>46193</v>
      </c>
      <c r="C23" s="36">
        <v>0.10416666666666667</v>
      </c>
      <c r="D23" s="37" t="s">
        <v>13</v>
      </c>
      <c r="E23" s="38" t="s">
        <v>21</v>
      </c>
      <c r="F23" s="41">
        <v>4</v>
      </c>
      <c r="G23" s="41">
        <v>0</v>
      </c>
      <c r="H23" s="46" t="s">
        <v>23</v>
      </c>
      <c r="J23" s="1" t="str">
        <f>IF(OR(Resultados!F23="",Resultados!G23=""),"",IF(AND(F23=Resultados!F23,G23=Resultados!G23),2,IF(((F23&gt;G23)=(Resultados!F23&gt;Resultados!G23))*((F23&lt;G23)=(Resultados!F23&lt;Resultados!G23)),1,0)))</f>
        <v/>
      </c>
    </row>
    <row r="24" spans="1:10" ht="16.2" thickBot="1" x14ac:dyDescent="0.35">
      <c r="A24" s="121"/>
      <c r="B24" s="35">
        <v>46198</v>
      </c>
      <c r="C24" s="36">
        <v>0</v>
      </c>
      <c r="D24" s="37" t="s">
        <v>14</v>
      </c>
      <c r="E24" s="38" t="s">
        <v>24</v>
      </c>
      <c r="F24" s="41">
        <v>1</v>
      </c>
      <c r="G24" s="41">
        <v>3</v>
      </c>
      <c r="H24" s="46" t="s">
        <v>21</v>
      </c>
      <c r="J24" s="1" t="str">
        <f>IF(OR(Resultados!F24="",Resultados!G24=""),"",IF(AND(F24=Resultados!F24,G24=Resultados!G24),2,IF(((F24&gt;G24)=(Resultados!F24&gt;Resultados!G24))*((F24&lt;G24)=(Resultados!F24&lt;Resultados!G24)),1,0)))</f>
        <v/>
      </c>
    </row>
    <row r="25" spans="1:10" ht="16.2" thickBot="1" x14ac:dyDescent="0.35">
      <c r="A25" s="122"/>
      <c r="B25" s="42">
        <v>46198</v>
      </c>
      <c r="C25" s="43">
        <v>0</v>
      </c>
      <c r="D25" s="44" t="s">
        <v>14</v>
      </c>
      <c r="E25" s="45" t="s">
        <v>22</v>
      </c>
      <c r="F25" s="41">
        <v>2</v>
      </c>
      <c r="G25" s="41">
        <v>2</v>
      </c>
      <c r="H25" s="46" t="s">
        <v>23</v>
      </c>
      <c r="J25" s="1" t="str">
        <f>IF(OR(Resultados!F25="",Resultados!G25=""),"",IF(AND(F25=Resultados!F25,G25=Resultados!G25),2,IF(((F25&gt;G25)=(Resultados!F25&gt;Resultados!G25))*((F25&lt;G25)=(Resultados!F25&lt;Resultados!G25)),1,0)))</f>
        <v/>
      </c>
    </row>
    <row r="26" spans="1:10" ht="16.2" thickBot="1" x14ac:dyDescent="0.35">
      <c r="A26" s="53"/>
      <c r="B26" s="53"/>
      <c r="C26" s="53"/>
      <c r="D26" s="53"/>
      <c r="E26" s="53"/>
      <c r="F26" s="53"/>
      <c r="G26" s="53"/>
      <c r="H26" s="54"/>
    </row>
    <row r="27" spans="1:10" ht="16.2" thickBot="1" x14ac:dyDescent="0.35">
      <c r="A27" s="50"/>
      <c r="B27" s="32" t="s">
        <v>1</v>
      </c>
      <c r="C27" s="32" t="s">
        <v>2</v>
      </c>
      <c r="D27" s="32" t="s">
        <v>3</v>
      </c>
      <c r="E27" s="33" t="s">
        <v>4</v>
      </c>
      <c r="F27" s="34" t="s">
        <v>5</v>
      </c>
      <c r="G27" s="34" t="s">
        <v>5</v>
      </c>
      <c r="H27" s="51" t="s">
        <v>6</v>
      </c>
    </row>
    <row r="28" spans="1:10" ht="16.2" thickBot="1" x14ac:dyDescent="0.35">
      <c r="A28" s="111" t="s">
        <v>25</v>
      </c>
      <c r="B28" s="35">
        <v>46186</v>
      </c>
      <c r="C28" s="36">
        <v>0.125</v>
      </c>
      <c r="D28" s="37" t="s">
        <v>8</v>
      </c>
      <c r="E28" s="38" t="s">
        <v>26</v>
      </c>
      <c r="F28" s="39">
        <v>4</v>
      </c>
      <c r="G28" s="39">
        <v>1</v>
      </c>
      <c r="H28" s="46" t="s">
        <v>27</v>
      </c>
    </row>
    <row r="29" spans="1:10" ht="16.2" thickBot="1" x14ac:dyDescent="0.35">
      <c r="A29" s="112"/>
      <c r="B29" s="35">
        <v>46187</v>
      </c>
      <c r="C29" s="36">
        <v>0.25</v>
      </c>
      <c r="D29" s="37" t="s">
        <v>8</v>
      </c>
      <c r="E29" s="38" t="s">
        <v>28</v>
      </c>
      <c r="F29" s="52">
        <v>1</v>
      </c>
      <c r="G29" s="52">
        <v>0</v>
      </c>
      <c r="H29" s="46" t="s">
        <v>29</v>
      </c>
      <c r="J29" s="1">
        <f>IF(OR(Resultados!F29="",Resultados!G29=""),"",IF(AND(F29=Resultados!F29,G29=Resultados!G29),2,IF(((F29&gt;G29)=(Resultados!F29&gt;Resultados!G29))*((F29&lt;G29)=(Resultados!F29&lt;Resultados!G29)),1,0)))</f>
        <v>1</v>
      </c>
    </row>
    <row r="30" spans="1:10" ht="16.2" thickBot="1" x14ac:dyDescent="0.35">
      <c r="A30" s="112"/>
      <c r="B30" s="35">
        <v>46192</v>
      </c>
      <c r="C30" s="36">
        <v>0.875</v>
      </c>
      <c r="D30" s="37" t="s">
        <v>13</v>
      </c>
      <c r="E30" s="38" t="s">
        <v>26</v>
      </c>
      <c r="F30" s="41">
        <v>3</v>
      </c>
      <c r="G30" s="41">
        <v>1</v>
      </c>
      <c r="H30" s="46" t="s">
        <v>28</v>
      </c>
      <c r="J30" s="1" t="str">
        <f>IF(OR(Resultados!F30="",Resultados!G30=""),"",IF(AND(F30=Resultados!F30,G30=Resultados!G30),2,IF(((F30&gt;G30)=(Resultados!F30&gt;Resultados!G30))*((F30&lt;G30)=(Resultados!F30&lt;Resultados!G30)),1,0)))</f>
        <v/>
      </c>
    </row>
    <row r="31" spans="1:10" ht="16.2" thickBot="1" x14ac:dyDescent="0.35">
      <c r="A31" s="112"/>
      <c r="B31" s="35">
        <v>46193</v>
      </c>
      <c r="C31" s="36">
        <v>0.20833333333333334</v>
      </c>
      <c r="D31" s="37" t="s">
        <v>13</v>
      </c>
      <c r="E31" s="38" t="s">
        <v>29</v>
      </c>
      <c r="F31" s="41">
        <v>0</v>
      </c>
      <c r="G31" s="41">
        <v>1</v>
      </c>
      <c r="H31" s="46" t="s">
        <v>27</v>
      </c>
      <c r="J31" s="1" t="str">
        <f>IF(OR(Resultados!F31="",Resultados!G31=""),"",IF(AND(F31=Resultados!F31,G31=Resultados!G31),2,IF(((F31&gt;G31)=(Resultados!F31&gt;Resultados!G31))*((F31&lt;G31)=(Resultados!F31&lt;Resultados!G31)),1,0)))</f>
        <v/>
      </c>
    </row>
    <row r="32" spans="1:10" ht="16.2" thickBot="1" x14ac:dyDescent="0.35">
      <c r="A32" s="112"/>
      <c r="B32" s="35">
        <v>46199</v>
      </c>
      <c r="C32" s="36">
        <v>0.16666666666666666</v>
      </c>
      <c r="D32" s="37" t="s">
        <v>14</v>
      </c>
      <c r="E32" s="38" t="s">
        <v>29</v>
      </c>
      <c r="F32" s="41">
        <v>0</v>
      </c>
      <c r="G32" s="41">
        <v>1</v>
      </c>
      <c r="H32" s="46" t="s">
        <v>26</v>
      </c>
      <c r="J32" s="1" t="str">
        <f>IF(OR(Resultados!F32="",Resultados!G32=""),"",IF(AND(F32=Resultados!F32,G32=Resultados!G32),2,IF(((F32&gt;G32)=(Resultados!F32&gt;Resultados!G32))*((F32&lt;G32)=(Resultados!F32&lt;Resultados!G32)),1,0)))</f>
        <v/>
      </c>
    </row>
    <row r="33" spans="1:10" ht="16.2" thickBot="1" x14ac:dyDescent="0.35">
      <c r="A33" s="113"/>
      <c r="B33" s="42">
        <v>46199</v>
      </c>
      <c r="C33" s="43">
        <v>0.16666666666666666</v>
      </c>
      <c r="D33" s="44" t="s">
        <v>14</v>
      </c>
      <c r="E33" s="45" t="s">
        <v>27</v>
      </c>
      <c r="F33" s="41">
        <v>2</v>
      </c>
      <c r="G33" s="41">
        <v>1</v>
      </c>
      <c r="H33" s="46" t="s">
        <v>28</v>
      </c>
      <c r="J33" s="1" t="str">
        <f>IF(OR(Resultados!F33="",Resultados!G33=""),"",IF(AND(F33=Resultados!F33,G33=Resultados!G33),2,IF(((F33&gt;G33)=(Resultados!F33&gt;Resultados!G33))*((F33&lt;G33)=(Resultados!F33&lt;Resultados!G33)),1,0)))</f>
        <v/>
      </c>
    </row>
    <row r="34" spans="1:10" ht="16.2" thickBot="1" x14ac:dyDescent="0.35">
      <c r="A34" s="47"/>
      <c r="B34" s="48"/>
      <c r="C34" s="48"/>
      <c r="D34" s="48"/>
      <c r="E34" s="48"/>
      <c r="F34" s="48"/>
      <c r="G34" s="48"/>
      <c r="H34" s="49"/>
    </row>
    <row r="35" spans="1:10" ht="16.2" thickBot="1" x14ac:dyDescent="0.35">
      <c r="A35" s="50"/>
      <c r="B35" s="32" t="s">
        <v>1</v>
      </c>
      <c r="C35" s="32" t="s">
        <v>2</v>
      </c>
      <c r="D35" s="32" t="s">
        <v>3</v>
      </c>
      <c r="E35" s="33" t="s">
        <v>4</v>
      </c>
      <c r="F35" s="34" t="s">
        <v>5</v>
      </c>
      <c r="G35" s="34" t="s">
        <v>5</v>
      </c>
      <c r="H35" s="51" t="s">
        <v>6</v>
      </c>
    </row>
    <row r="36" spans="1:10" ht="16.2" thickBot="1" x14ac:dyDescent="0.35">
      <c r="A36" s="129" t="s">
        <v>30</v>
      </c>
      <c r="B36" s="35">
        <v>46187</v>
      </c>
      <c r="C36" s="36">
        <v>0.79166666666666663</v>
      </c>
      <c r="D36" s="37" t="s">
        <v>8</v>
      </c>
      <c r="E36" s="38" t="s">
        <v>31</v>
      </c>
      <c r="F36" s="52">
        <v>3</v>
      </c>
      <c r="G36" s="52">
        <v>0</v>
      </c>
      <c r="H36" s="46" t="s">
        <v>32</v>
      </c>
      <c r="J36" s="1">
        <f>IF(OR(Resultados!F36="",Resultados!G36=""),"",IF(AND(F36=Resultados!F36,G36=Resultados!G36),2,IF(((F36&gt;G36)=(Resultados!F36&gt;Resultados!G36))*((F36&lt;G36)=(Resultados!F36&lt;Resultados!G36)),1,0)))</f>
        <v>1</v>
      </c>
    </row>
    <row r="37" spans="1:10" ht="16.2" thickBot="1" x14ac:dyDescent="0.35">
      <c r="A37" s="130"/>
      <c r="B37" s="35">
        <v>46188</v>
      </c>
      <c r="C37" s="36">
        <v>4.1666666666666664E-2</v>
      </c>
      <c r="D37" s="37" t="s">
        <v>8</v>
      </c>
      <c r="E37" s="38" t="s">
        <v>33</v>
      </c>
      <c r="F37" s="52">
        <v>0</v>
      </c>
      <c r="G37" s="52">
        <v>1</v>
      </c>
      <c r="H37" s="46" t="s">
        <v>34</v>
      </c>
      <c r="J37" s="1">
        <f>IF(OR(Resultados!F37="",Resultados!G37=""),"",IF(AND(F37=Resultados!F37,G37=Resultados!G37),2,IF(((F37&gt;G37)=(Resultados!F37&gt;Resultados!G37))*((F37&lt;G37)=(Resultados!F37&lt;Resultados!G37)),1,0)))</f>
        <v>0</v>
      </c>
    </row>
    <row r="38" spans="1:10" ht="16.2" thickBot="1" x14ac:dyDescent="0.35">
      <c r="A38" s="130"/>
      <c r="B38" s="35">
        <v>46193</v>
      </c>
      <c r="C38" s="36">
        <v>0.91666666666666663</v>
      </c>
      <c r="D38" s="37" t="s">
        <v>13</v>
      </c>
      <c r="E38" s="38" t="s">
        <v>31</v>
      </c>
      <c r="F38" s="41">
        <v>4</v>
      </c>
      <c r="G38" s="41">
        <v>1</v>
      </c>
      <c r="H38" s="46" t="s">
        <v>33</v>
      </c>
      <c r="J38" s="1" t="str">
        <f>IF(OR(Resultados!F38="",Resultados!G38=""),"",IF(AND(F38=Resultados!F38,G38=Resultados!G38),2,IF(((F38&gt;G38)=(Resultados!F38&gt;Resultados!G38))*((F38&lt;G38)=(Resultados!F38&lt;Resultados!G38)),1,0)))</f>
        <v/>
      </c>
    </row>
    <row r="39" spans="1:10" ht="16.2" thickBot="1" x14ac:dyDescent="0.35">
      <c r="A39" s="130"/>
      <c r="B39" s="35">
        <v>46194</v>
      </c>
      <c r="C39" s="36">
        <v>8.3333333333333329E-2</v>
      </c>
      <c r="D39" s="37" t="s">
        <v>13</v>
      </c>
      <c r="E39" s="38" t="s">
        <v>34</v>
      </c>
      <c r="F39" s="41">
        <v>3</v>
      </c>
      <c r="G39" s="41">
        <v>1</v>
      </c>
      <c r="H39" s="46" t="s">
        <v>32</v>
      </c>
      <c r="J39" s="1" t="str">
        <f>IF(OR(Resultados!F39="",Resultados!G39=""),"",IF(AND(F39=Resultados!F39,G39=Resultados!G39),2,IF(((F39&gt;G39)=(Resultados!F39&gt;Resultados!G39))*((F39&lt;G39)=(Resultados!F39&lt;Resultados!G39)),1,0)))</f>
        <v/>
      </c>
    </row>
    <row r="40" spans="1:10" ht="16.2" thickBot="1" x14ac:dyDescent="0.35">
      <c r="A40" s="130"/>
      <c r="B40" s="35">
        <v>46198</v>
      </c>
      <c r="C40" s="36">
        <v>0.91666666666666663</v>
      </c>
      <c r="D40" s="37" t="s">
        <v>14</v>
      </c>
      <c r="E40" s="38" t="s">
        <v>32</v>
      </c>
      <c r="F40" s="41">
        <v>1</v>
      </c>
      <c r="G40" s="41">
        <v>1</v>
      </c>
      <c r="H40" s="46" t="s">
        <v>33</v>
      </c>
      <c r="J40" s="1" t="str">
        <f>IF(OR(Resultados!F40="",Resultados!G40=""),"",IF(AND(F40=Resultados!F40,G40=Resultados!G40),2,IF(((F40&gt;G40)=(Resultados!F40&gt;Resultados!G40))*((F40&lt;G40)=(Resultados!F40&lt;Resultados!G40)),1,0)))</f>
        <v/>
      </c>
    </row>
    <row r="41" spans="1:10" ht="16.2" thickBot="1" x14ac:dyDescent="0.35">
      <c r="A41" s="131"/>
      <c r="B41" s="42">
        <v>46198</v>
      </c>
      <c r="C41" s="43">
        <v>0.91666666666666663</v>
      </c>
      <c r="D41" s="44" t="s">
        <v>14</v>
      </c>
      <c r="E41" s="45" t="s">
        <v>34</v>
      </c>
      <c r="F41" s="41">
        <v>1</v>
      </c>
      <c r="G41" s="41">
        <v>3</v>
      </c>
      <c r="H41" s="46" t="s">
        <v>31</v>
      </c>
      <c r="J41" s="1" t="str">
        <f>IF(OR(Resultados!F41="",Resultados!G41=""),"",IF(AND(F41=Resultados!F41,G41=Resultados!G41),2,IF(((F41&gt;G41)=(Resultados!F41&gt;Resultados!G41))*((F41&lt;G41)=(Resultados!F41&lt;Resultados!G41)),1,0)))</f>
        <v/>
      </c>
    </row>
    <row r="42" spans="1:10" ht="16.2" thickBot="1" x14ac:dyDescent="0.35">
      <c r="A42" s="47"/>
      <c r="B42" s="48"/>
      <c r="C42" s="48"/>
      <c r="D42" s="48"/>
      <c r="E42" s="48"/>
      <c r="F42" s="48"/>
      <c r="G42" s="48"/>
      <c r="H42" s="49"/>
    </row>
    <row r="43" spans="1:10" ht="16.2" thickBot="1" x14ac:dyDescent="0.35">
      <c r="A43" s="50"/>
      <c r="B43" s="32" t="s">
        <v>1</v>
      </c>
      <c r="C43" s="32" t="s">
        <v>2</v>
      </c>
      <c r="D43" s="32" t="s">
        <v>3</v>
      </c>
      <c r="E43" s="33" t="s">
        <v>4</v>
      </c>
      <c r="F43" s="34" t="s">
        <v>5</v>
      </c>
      <c r="G43" s="34" t="s">
        <v>5</v>
      </c>
      <c r="H43" s="51" t="s">
        <v>6</v>
      </c>
    </row>
    <row r="44" spans="1:10" ht="16.2" thickBot="1" x14ac:dyDescent="0.35">
      <c r="A44" s="132" t="s">
        <v>35</v>
      </c>
      <c r="B44" s="35">
        <v>46187</v>
      </c>
      <c r="C44" s="36">
        <v>0.91666666666666663</v>
      </c>
      <c r="D44" s="37" t="s">
        <v>8</v>
      </c>
      <c r="E44" s="38" t="s">
        <v>36</v>
      </c>
      <c r="F44" s="52">
        <v>1</v>
      </c>
      <c r="G44" s="52">
        <v>2</v>
      </c>
      <c r="H44" s="46" t="s">
        <v>37</v>
      </c>
      <c r="J44" s="1">
        <f>IF(OR(Resultados!F44="",Resultados!G44=""),"",IF(AND(F44=Resultados!F44,G44=Resultados!G44),2,IF(((F44&gt;G44)=(Resultados!F44&gt;Resultados!G44))*((F44&lt;G44)=(Resultados!F44&lt;Resultados!G44)),1,0)))</f>
        <v>0</v>
      </c>
    </row>
    <row r="45" spans="1:10" ht="16.2" thickBot="1" x14ac:dyDescent="0.35">
      <c r="A45" s="133"/>
      <c r="B45" s="35">
        <v>46188</v>
      </c>
      <c r="C45" s="36">
        <v>0.16666666666666666</v>
      </c>
      <c r="D45" s="37" t="s">
        <v>8</v>
      </c>
      <c r="E45" s="38" t="s">
        <v>38</v>
      </c>
      <c r="F45" s="52">
        <v>1</v>
      </c>
      <c r="G45" s="52">
        <v>0</v>
      </c>
      <c r="H45" s="46" t="s">
        <v>39</v>
      </c>
      <c r="J45" s="1">
        <f>IF(OR(Resultados!F45="",Resultados!G45=""),"",IF(AND(F45=Resultados!F45,G45=Resultados!G45),2,IF(((F45&gt;G45)=(Resultados!F45&gt;Resultados!G45))*((F45&lt;G45)=(Resultados!F45&lt;Resultados!G45)),1,0)))</f>
        <v>1</v>
      </c>
    </row>
    <row r="46" spans="1:10" ht="16.2" thickBot="1" x14ac:dyDescent="0.35">
      <c r="A46" s="133"/>
      <c r="B46" s="35">
        <v>46193</v>
      </c>
      <c r="C46" s="36">
        <v>0.79166666666666663</v>
      </c>
      <c r="D46" s="37" t="s">
        <v>13</v>
      </c>
      <c r="E46" s="38" t="s">
        <v>36</v>
      </c>
      <c r="F46" s="41">
        <v>0</v>
      </c>
      <c r="G46" s="41">
        <v>1</v>
      </c>
      <c r="H46" s="46" t="s">
        <v>38</v>
      </c>
      <c r="J46" s="1" t="str">
        <f>IF(OR(Resultados!F46="",Resultados!G46=""),"",IF(AND(F46=Resultados!F46,G46=Resultados!G46),2,IF(((F46&gt;G46)=(Resultados!F46&gt;Resultados!G46))*((F46&lt;G46)=(Resultados!F46&lt;Resultados!G46)),1,0)))</f>
        <v/>
      </c>
    </row>
    <row r="47" spans="1:10" ht="16.2" thickBot="1" x14ac:dyDescent="0.35">
      <c r="A47" s="133"/>
      <c r="B47" s="35">
        <v>46194</v>
      </c>
      <c r="C47" s="36">
        <v>0.25</v>
      </c>
      <c r="D47" s="37" t="s">
        <v>13</v>
      </c>
      <c r="E47" s="38" t="s">
        <v>39</v>
      </c>
      <c r="F47" s="41">
        <v>0</v>
      </c>
      <c r="G47" s="41">
        <v>1</v>
      </c>
      <c r="H47" s="46" t="s">
        <v>37</v>
      </c>
      <c r="J47" s="1" t="str">
        <f>IF(OR(Resultados!F47="",Resultados!G47=""),"",IF(AND(F47=Resultados!F47,G47=Resultados!G47),2,IF(((F47&gt;G47)=(Resultados!F47&gt;Resultados!G47))*((F47&lt;G47)=(Resultados!F47&lt;Resultados!G47)),1,0)))</f>
        <v/>
      </c>
    </row>
    <row r="48" spans="1:10" ht="16.2" thickBot="1" x14ac:dyDescent="0.35">
      <c r="A48" s="133"/>
      <c r="B48" s="35">
        <v>46199</v>
      </c>
      <c r="C48" s="36">
        <v>4.1666666666666664E-2</v>
      </c>
      <c r="D48" s="37" t="s">
        <v>14</v>
      </c>
      <c r="E48" s="38" t="s">
        <v>37</v>
      </c>
      <c r="F48" s="41">
        <v>1</v>
      </c>
      <c r="G48" s="41">
        <v>1</v>
      </c>
      <c r="H48" s="46" t="s">
        <v>38</v>
      </c>
      <c r="J48" s="1" t="str">
        <f>IF(OR(Resultados!F48="",Resultados!G48=""),"",IF(AND(F48=Resultados!F48,G48=Resultados!G48),2,IF(((F48&gt;G48)=(Resultados!F48&gt;Resultados!G48))*((F48&lt;G48)=(Resultados!F48&lt;Resultados!G48)),1,0)))</f>
        <v/>
      </c>
    </row>
    <row r="49" spans="1:10" ht="16.2" thickBot="1" x14ac:dyDescent="0.35">
      <c r="A49" s="134"/>
      <c r="B49" s="42">
        <v>46199</v>
      </c>
      <c r="C49" s="43">
        <v>4.1666666666666664E-2</v>
      </c>
      <c r="D49" s="44" t="s">
        <v>14</v>
      </c>
      <c r="E49" s="45" t="s">
        <v>39</v>
      </c>
      <c r="F49" s="41">
        <v>0</v>
      </c>
      <c r="G49" s="41">
        <v>1</v>
      </c>
      <c r="H49" s="46" t="s">
        <v>36</v>
      </c>
      <c r="J49" s="1" t="str">
        <f>IF(OR(Resultados!F49="",Resultados!G49=""),"",IF(AND(F49=Resultados!F49,G49=Resultados!G49),2,IF(((F49&gt;G49)=(Resultados!F49&gt;Resultados!G49))*((F49&lt;G49)=(Resultados!F49&lt;Resultados!G49)),1,0)))</f>
        <v/>
      </c>
    </row>
    <row r="50" spans="1:10" ht="16.2" thickBot="1" x14ac:dyDescent="0.35">
      <c r="A50" s="47"/>
      <c r="B50" s="48"/>
      <c r="C50" s="48"/>
      <c r="D50" s="48"/>
      <c r="E50" s="48"/>
      <c r="F50" s="48"/>
      <c r="G50" s="48"/>
      <c r="H50" s="49"/>
    </row>
    <row r="51" spans="1:10" ht="16.2" thickBot="1" x14ac:dyDescent="0.35">
      <c r="A51" s="50"/>
      <c r="B51" s="32" t="s">
        <v>1</v>
      </c>
      <c r="C51" s="32" t="s">
        <v>2</v>
      </c>
      <c r="D51" s="32" t="s">
        <v>3</v>
      </c>
      <c r="E51" s="33" t="s">
        <v>4</v>
      </c>
      <c r="F51" s="34" t="s">
        <v>5</v>
      </c>
      <c r="G51" s="34" t="s">
        <v>5</v>
      </c>
      <c r="H51" s="51" t="s">
        <v>6</v>
      </c>
    </row>
    <row r="52" spans="1:10" ht="16.2" thickBot="1" x14ac:dyDescent="0.35">
      <c r="A52" s="135" t="s">
        <v>40</v>
      </c>
      <c r="B52" s="35">
        <v>46188</v>
      </c>
      <c r="C52" s="36">
        <v>0.875</v>
      </c>
      <c r="D52" s="37" t="s">
        <v>8</v>
      </c>
      <c r="E52" s="38" t="s">
        <v>41</v>
      </c>
      <c r="F52" s="52">
        <v>2</v>
      </c>
      <c r="G52" s="52">
        <v>1</v>
      </c>
      <c r="H52" s="46" t="s">
        <v>42</v>
      </c>
      <c r="J52" s="1" t="str">
        <f>IF(OR(Resultados!F52="",Resultados!G52=""),"",IF(AND(F52=Resultados!F52,G52=Resultados!G52),2,IF(((F52&gt;G52)=(Resultados!F52&gt;Resultados!G52))*((F52&lt;G52)=(Resultados!F52&lt;Resultados!G52)),1,0)))</f>
        <v/>
      </c>
    </row>
    <row r="53" spans="1:10" ht="16.2" thickBot="1" x14ac:dyDescent="0.35">
      <c r="A53" s="136"/>
      <c r="B53" s="35">
        <v>46189</v>
      </c>
      <c r="C53" s="36">
        <v>0.125</v>
      </c>
      <c r="D53" s="37" t="s">
        <v>8</v>
      </c>
      <c r="E53" s="38" t="s">
        <v>43</v>
      </c>
      <c r="F53" s="52">
        <v>1</v>
      </c>
      <c r="G53" s="52">
        <v>1</v>
      </c>
      <c r="H53" s="46" t="s">
        <v>44</v>
      </c>
      <c r="J53" s="1" t="str">
        <f>IF(OR(Resultados!F53="",Resultados!G53=""),"",IF(AND(F53=Resultados!F53,G53=Resultados!G53),2,IF(((F53&gt;G53)=(Resultados!F53&gt;Resultados!G53))*((F53&lt;G53)=(Resultados!F53&lt;Resultados!G53)),1,0)))</f>
        <v/>
      </c>
    </row>
    <row r="54" spans="1:10" ht="16.2" thickBot="1" x14ac:dyDescent="0.35">
      <c r="A54" s="136"/>
      <c r="B54" s="35">
        <v>46194</v>
      </c>
      <c r="C54" s="36">
        <v>0.875</v>
      </c>
      <c r="D54" s="37" t="s">
        <v>13</v>
      </c>
      <c r="E54" s="38" t="s">
        <v>41</v>
      </c>
      <c r="F54" s="41">
        <v>1</v>
      </c>
      <c r="G54" s="41">
        <v>1</v>
      </c>
      <c r="H54" s="46" t="s">
        <v>43</v>
      </c>
      <c r="J54" s="1" t="str">
        <f>IF(OR(Resultados!F54="",Resultados!G54=""),"",IF(AND(F54=Resultados!F54,G54=Resultados!G54),2,IF(((F54&gt;G54)=(Resultados!F54&gt;Resultados!G54))*((F54&lt;G54)=(Resultados!F54&lt;Resultados!G54)),1,0)))</f>
        <v/>
      </c>
    </row>
    <row r="55" spans="1:10" ht="16.2" thickBot="1" x14ac:dyDescent="0.35">
      <c r="A55" s="136"/>
      <c r="B55" s="35">
        <v>46195</v>
      </c>
      <c r="C55" s="36">
        <v>0.125</v>
      </c>
      <c r="D55" s="37" t="s">
        <v>13</v>
      </c>
      <c r="E55" s="38" t="s">
        <v>44</v>
      </c>
      <c r="F55" s="41">
        <v>1</v>
      </c>
      <c r="G55" s="41">
        <v>1</v>
      </c>
      <c r="H55" s="46" t="s">
        <v>42</v>
      </c>
      <c r="J55" s="1" t="str">
        <f>IF(OR(Resultados!F55="",Resultados!G55=""),"",IF(AND(F55=Resultados!F55,G55=Resultados!G55),2,IF(((F55&gt;G55)=(Resultados!F55&gt;Resultados!G55))*((F55&lt;G55)=(Resultados!F55&lt;Resultados!G55)),1,0)))</f>
        <v/>
      </c>
    </row>
    <row r="56" spans="1:10" ht="16.2" thickBot="1" x14ac:dyDescent="0.35">
      <c r="A56" s="136"/>
      <c r="B56" s="35">
        <v>46200</v>
      </c>
      <c r="C56" s="36">
        <v>0.20833333333333334</v>
      </c>
      <c r="D56" s="37" t="s">
        <v>14</v>
      </c>
      <c r="E56" s="38" t="s">
        <v>42</v>
      </c>
      <c r="F56" s="41">
        <v>0</v>
      </c>
      <c r="G56" s="41">
        <v>1</v>
      </c>
      <c r="H56" s="46" t="s">
        <v>43</v>
      </c>
      <c r="J56" s="1" t="str">
        <f>IF(OR(Resultados!F56="",Resultados!G56=""),"",IF(AND(F56=Resultados!F56,G56=Resultados!G56),2,IF(((F56&gt;G56)=(Resultados!F56&gt;Resultados!G56))*((F56&lt;G56)=(Resultados!F56&lt;Resultados!G56)),1,0)))</f>
        <v/>
      </c>
    </row>
    <row r="57" spans="1:10" ht="16.2" thickBot="1" x14ac:dyDescent="0.35">
      <c r="A57" s="137"/>
      <c r="B57" s="42">
        <v>46200</v>
      </c>
      <c r="C57" s="43">
        <v>0.20833333333333334</v>
      </c>
      <c r="D57" s="44" t="s">
        <v>14</v>
      </c>
      <c r="E57" s="45" t="s">
        <v>44</v>
      </c>
      <c r="F57" s="41">
        <v>0</v>
      </c>
      <c r="G57" s="41">
        <v>2</v>
      </c>
      <c r="H57" s="46" t="s">
        <v>41</v>
      </c>
      <c r="J57" s="1" t="str">
        <f>IF(OR(Resultados!F57="",Resultados!G57=""),"",IF(AND(F57=Resultados!F57,G57=Resultados!G57),2,IF(((F57&gt;G57)=(Resultados!F57&gt;Resultados!G57))*((F57&lt;G57)=(Resultados!F57&lt;Resultados!G57)),1,0)))</f>
        <v/>
      </c>
    </row>
    <row r="58" spans="1:10" ht="16.2" thickBot="1" x14ac:dyDescent="0.35">
      <c r="A58" s="47"/>
      <c r="B58" s="48"/>
      <c r="C58" s="48"/>
      <c r="D58" s="48"/>
      <c r="E58" s="48"/>
      <c r="F58" s="48"/>
      <c r="G58" s="48"/>
      <c r="H58" s="49"/>
    </row>
    <row r="59" spans="1:10" ht="16.2" thickBot="1" x14ac:dyDescent="0.35">
      <c r="A59" s="50"/>
      <c r="B59" s="32" t="s">
        <v>1</v>
      </c>
      <c r="C59" s="32" t="s">
        <v>2</v>
      </c>
      <c r="D59" s="32" t="s">
        <v>3</v>
      </c>
      <c r="E59" s="33" t="s">
        <v>4</v>
      </c>
      <c r="F59" s="34" t="s">
        <v>5</v>
      </c>
      <c r="G59" s="34" t="s">
        <v>5</v>
      </c>
      <c r="H59" s="51" t="s">
        <v>6</v>
      </c>
    </row>
    <row r="60" spans="1:10" ht="16.2" thickBot="1" x14ac:dyDescent="0.35">
      <c r="A60" s="138" t="s">
        <v>45</v>
      </c>
      <c r="B60" s="35">
        <v>46188</v>
      </c>
      <c r="C60" s="36">
        <v>0.75</v>
      </c>
      <c r="D60" s="37" t="s">
        <v>8</v>
      </c>
      <c r="E60" s="38" t="s">
        <v>46</v>
      </c>
      <c r="F60" s="52">
        <v>3</v>
      </c>
      <c r="G60" s="52">
        <v>0</v>
      </c>
      <c r="H60" s="46" t="s">
        <v>47</v>
      </c>
      <c r="J60" s="1" t="str">
        <f>IF(OR(Resultados!F60="",Resultados!G60=""),"",IF(AND(F60=Resultados!F60,G60=Resultados!G60),2,IF(((F60&gt;G60)=(Resultados!F60&gt;Resultados!G60))*((F60&lt;G60)=(Resultados!F60&lt;Resultados!G60)),1,0)))</f>
        <v/>
      </c>
    </row>
    <row r="61" spans="1:10" ht="16.2" thickBot="1" x14ac:dyDescent="0.35">
      <c r="A61" s="139"/>
      <c r="B61" s="35">
        <v>46189</v>
      </c>
      <c r="C61" s="36">
        <v>0</v>
      </c>
      <c r="D61" s="37" t="s">
        <v>8</v>
      </c>
      <c r="E61" s="38" t="s">
        <v>48</v>
      </c>
      <c r="F61" s="52">
        <v>1</v>
      </c>
      <c r="G61" s="52">
        <v>2</v>
      </c>
      <c r="H61" s="46" t="s">
        <v>49</v>
      </c>
      <c r="J61" s="1" t="str">
        <f>IF(OR(Resultados!F61="",Resultados!G61=""),"",IF(AND(F61=Resultados!F61,G61=Resultados!G61),2,IF(((F61&gt;G61)=(Resultados!F61&gt;Resultados!G61))*((F61&lt;G61)=(Resultados!F61&lt;Resultados!G61)),1,0)))</f>
        <v/>
      </c>
    </row>
    <row r="62" spans="1:10" ht="16.2" thickBot="1" x14ac:dyDescent="0.35">
      <c r="A62" s="139"/>
      <c r="B62" s="35">
        <v>46194</v>
      </c>
      <c r="C62" s="36">
        <v>0.75</v>
      </c>
      <c r="D62" s="37" t="s">
        <v>13</v>
      </c>
      <c r="E62" s="38" t="s">
        <v>46</v>
      </c>
      <c r="F62" s="41">
        <v>2</v>
      </c>
      <c r="G62" s="41">
        <v>0</v>
      </c>
      <c r="H62" s="46" t="s">
        <v>48</v>
      </c>
      <c r="J62" s="1" t="str">
        <f>IF(OR(Resultados!F62="",Resultados!G62=""),"",IF(AND(F62=Resultados!F62,G62=Resultados!G62),2,IF(((F62&gt;G62)=(Resultados!F62&gt;Resultados!G62))*((F62&lt;G62)=(Resultados!F62&lt;Resultados!G62)),1,0)))</f>
        <v/>
      </c>
    </row>
    <row r="63" spans="1:10" ht="16.2" thickBot="1" x14ac:dyDescent="0.35">
      <c r="A63" s="139"/>
      <c r="B63" s="35">
        <v>46195</v>
      </c>
      <c r="C63" s="36">
        <v>0</v>
      </c>
      <c r="D63" s="37" t="s">
        <v>13</v>
      </c>
      <c r="E63" s="38" t="s">
        <v>49</v>
      </c>
      <c r="F63" s="41">
        <v>3</v>
      </c>
      <c r="G63" s="41">
        <v>0</v>
      </c>
      <c r="H63" s="46" t="s">
        <v>47</v>
      </c>
      <c r="J63" s="1" t="str">
        <f>IF(OR(Resultados!F63="",Resultados!G63=""),"",IF(AND(F63=Resultados!F63,G63=Resultados!G63),2,IF(((F63&gt;G63)=(Resultados!F63&gt;Resultados!G63))*((F63&lt;G63)=(Resultados!F63&lt;Resultados!G63)),1,0)))</f>
        <v/>
      </c>
    </row>
    <row r="64" spans="1:10" ht="16.2" thickBot="1" x14ac:dyDescent="0.35">
      <c r="A64" s="139"/>
      <c r="B64" s="35">
        <v>46200</v>
      </c>
      <c r="C64" s="36">
        <v>8.3333333333333329E-2</v>
      </c>
      <c r="D64" s="37" t="s">
        <v>14</v>
      </c>
      <c r="E64" s="38" t="s">
        <v>47</v>
      </c>
      <c r="F64" s="41">
        <v>1</v>
      </c>
      <c r="G64" s="41">
        <v>1</v>
      </c>
      <c r="H64" s="46" t="s">
        <v>48</v>
      </c>
      <c r="J64" s="1" t="str">
        <f>IF(OR(Resultados!F64="",Resultados!G64=""),"",IF(AND(F64=Resultados!F64,G64=Resultados!G64),2,IF(((F64&gt;G64)=(Resultados!F64&gt;Resultados!G64))*((F64&lt;G64)=(Resultados!F64&lt;Resultados!G64)),1,0)))</f>
        <v/>
      </c>
    </row>
    <row r="65" spans="1:10" ht="16.2" thickBot="1" x14ac:dyDescent="0.35">
      <c r="A65" s="140"/>
      <c r="B65" s="42">
        <v>46200</v>
      </c>
      <c r="C65" s="43">
        <v>8.3333333333333329E-2</v>
      </c>
      <c r="D65" s="44" t="s">
        <v>14</v>
      </c>
      <c r="E65" s="45" t="s">
        <v>49</v>
      </c>
      <c r="F65" s="41">
        <v>2</v>
      </c>
      <c r="G65" s="41">
        <v>2</v>
      </c>
      <c r="H65" s="46" t="s">
        <v>46</v>
      </c>
      <c r="J65" s="1" t="str">
        <f>IF(OR(Resultados!F65="",Resultados!G65=""),"",IF(AND(F65=Resultados!F65,G65=Resultados!G65),2,IF(((F65&gt;G65)=(Resultados!F65&gt;Resultados!G65))*((F65&lt;G65)=(Resultados!F65&lt;Resultados!G65)),1,0)))</f>
        <v/>
      </c>
    </row>
    <row r="66" spans="1:10" ht="16.2" thickBot="1" x14ac:dyDescent="0.35">
      <c r="A66" s="47"/>
      <c r="B66" s="48"/>
      <c r="C66" s="48"/>
      <c r="D66" s="48"/>
      <c r="E66" s="48"/>
      <c r="F66" s="48"/>
      <c r="G66" s="48"/>
      <c r="H66" s="49"/>
    </row>
    <row r="67" spans="1:10" ht="16.2" thickBot="1" x14ac:dyDescent="0.35">
      <c r="A67" s="50"/>
      <c r="B67" s="32" t="s">
        <v>1</v>
      </c>
      <c r="C67" s="32" t="s">
        <v>2</v>
      </c>
      <c r="D67" s="32" t="s">
        <v>3</v>
      </c>
      <c r="E67" s="33" t="s">
        <v>4</v>
      </c>
      <c r="F67" s="34" t="s">
        <v>5</v>
      </c>
      <c r="G67" s="34" t="s">
        <v>5</v>
      </c>
      <c r="H67" s="51" t="s">
        <v>6</v>
      </c>
    </row>
    <row r="68" spans="1:10" ht="16.2" thickBot="1" x14ac:dyDescent="0.35">
      <c r="A68" s="141" t="s">
        <v>50</v>
      </c>
      <c r="B68" s="35">
        <v>46189</v>
      </c>
      <c r="C68" s="36">
        <v>0.875</v>
      </c>
      <c r="D68" s="37" t="s">
        <v>8</v>
      </c>
      <c r="E68" s="38" t="s">
        <v>51</v>
      </c>
      <c r="F68" s="52">
        <v>3</v>
      </c>
      <c r="G68" s="52">
        <v>1</v>
      </c>
      <c r="H68" s="46" t="s">
        <v>52</v>
      </c>
      <c r="J68" s="1" t="str">
        <f>IF(OR(Resultados!F68="",Resultados!G68=""),"",IF(AND(F68=Resultados!F68,G68=Resultados!G68),2,IF(((F68&gt;G68)=(Resultados!F68&gt;Resultados!G68))*((F68&lt;G68)=(Resultados!F68&lt;Resultados!G68)),1,0)))</f>
        <v/>
      </c>
    </row>
    <row r="69" spans="1:10" ht="16.2" thickBot="1" x14ac:dyDescent="0.35">
      <c r="A69" s="142"/>
      <c r="B69" s="35">
        <v>46190</v>
      </c>
      <c r="C69" s="36">
        <v>0</v>
      </c>
      <c r="D69" s="37" t="s">
        <v>8</v>
      </c>
      <c r="E69" s="38" t="s">
        <v>53</v>
      </c>
      <c r="F69" s="52">
        <v>1</v>
      </c>
      <c r="G69" s="52">
        <v>2</v>
      </c>
      <c r="H69" s="46" t="s">
        <v>54</v>
      </c>
      <c r="J69" s="1" t="str">
        <f>IF(OR(Resultados!F69="",Resultados!G69=""),"",IF(AND(F69=Resultados!F69,G69=Resultados!G69),2,IF(((F69&gt;G69)=(Resultados!F69&gt;Resultados!G69))*((F69&lt;G69)=(Resultados!F69&lt;Resultados!G69)),1,0)))</f>
        <v/>
      </c>
    </row>
    <row r="70" spans="1:10" ht="16.2" thickBot="1" x14ac:dyDescent="0.35">
      <c r="A70" s="142"/>
      <c r="B70" s="35">
        <v>46195</v>
      </c>
      <c r="C70" s="36">
        <v>0.95833333333333337</v>
      </c>
      <c r="D70" s="37" t="s">
        <v>13</v>
      </c>
      <c r="E70" s="38" t="s">
        <v>51</v>
      </c>
      <c r="F70" s="41">
        <v>3</v>
      </c>
      <c r="G70" s="41">
        <v>0</v>
      </c>
      <c r="H70" s="46" t="s">
        <v>53</v>
      </c>
      <c r="J70" s="1" t="str">
        <f>IF(OR(Resultados!F70="",Resultados!G70=""),"",IF(AND(F70=Resultados!F70,G70=Resultados!G70),2,IF(((F70&gt;G70)=(Resultados!F70&gt;Resultados!G70))*((F70&lt;G70)=(Resultados!F70&lt;Resultados!G70)),1,0)))</f>
        <v/>
      </c>
    </row>
    <row r="71" spans="1:10" ht="16.2" thickBot="1" x14ac:dyDescent="0.35">
      <c r="A71" s="142"/>
      <c r="B71" s="35">
        <v>46196</v>
      </c>
      <c r="C71" s="36">
        <v>8.3333333333333329E-2</v>
      </c>
      <c r="D71" s="37" t="s">
        <v>13</v>
      </c>
      <c r="E71" s="38" t="s">
        <v>54</v>
      </c>
      <c r="F71" s="41">
        <v>2</v>
      </c>
      <c r="G71" s="41">
        <v>0</v>
      </c>
      <c r="H71" s="46" t="s">
        <v>52</v>
      </c>
      <c r="J71" s="1" t="str">
        <f>IF(OR(Resultados!F71="",Resultados!G71=""),"",IF(AND(F71=Resultados!F71,G71=Resultados!G71),2,IF(((F71&gt;G71)=(Resultados!F71&gt;Resultados!G71))*((F71&lt;G71)=(Resultados!F71&lt;Resultados!G71)),1,0)))</f>
        <v/>
      </c>
    </row>
    <row r="72" spans="1:10" ht="16.2" thickBot="1" x14ac:dyDescent="0.35">
      <c r="A72" s="142"/>
      <c r="B72" s="35">
        <v>46199</v>
      </c>
      <c r="C72" s="36">
        <v>0.875</v>
      </c>
      <c r="D72" s="37" t="s">
        <v>14</v>
      </c>
      <c r="E72" s="38" t="s">
        <v>54</v>
      </c>
      <c r="F72" s="41">
        <v>1</v>
      </c>
      <c r="G72" s="41">
        <v>3</v>
      </c>
      <c r="H72" s="46" t="s">
        <v>51</v>
      </c>
      <c r="J72" s="1" t="str">
        <f>IF(OR(Resultados!F72="",Resultados!G72=""),"",IF(AND(F72=Resultados!F72,G72=Resultados!G72),2,IF(((F72&gt;G72)=(Resultados!F72&gt;Resultados!G72))*((F72&lt;G72)=(Resultados!F72&lt;Resultados!G72)),1,0)))</f>
        <v/>
      </c>
    </row>
    <row r="73" spans="1:10" ht="16.2" thickBot="1" x14ac:dyDescent="0.35">
      <c r="A73" s="143"/>
      <c r="B73" s="42">
        <v>46199</v>
      </c>
      <c r="C73" s="43">
        <v>0.875</v>
      </c>
      <c r="D73" s="44" t="s">
        <v>14</v>
      </c>
      <c r="E73" s="45" t="s">
        <v>52</v>
      </c>
      <c r="F73" s="41">
        <v>1</v>
      </c>
      <c r="G73" s="41">
        <v>1</v>
      </c>
      <c r="H73" s="46" t="s">
        <v>53</v>
      </c>
      <c r="J73" s="1" t="str">
        <f>IF(OR(Resultados!F73="",Resultados!G73=""),"",IF(AND(F73=Resultados!F73,G73=Resultados!G73),2,IF(((F73&gt;G73)=(Resultados!F73&gt;Resultados!G73))*((F73&lt;G73)=(Resultados!F73&lt;Resultados!G73)),1,0)))</f>
        <v/>
      </c>
    </row>
    <row r="74" spans="1:10" ht="16.2" thickBot="1" x14ac:dyDescent="0.35">
      <c r="A74" s="47"/>
      <c r="B74" s="48"/>
      <c r="C74" s="48"/>
      <c r="D74" s="48"/>
      <c r="E74" s="48"/>
      <c r="F74" s="48"/>
      <c r="G74" s="48"/>
      <c r="H74" s="49"/>
    </row>
    <row r="75" spans="1:10" ht="16.2" thickBot="1" x14ac:dyDescent="0.35">
      <c r="A75" s="50"/>
      <c r="B75" s="32" t="s">
        <v>1</v>
      </c>
      <c r="C75" s="32" t="s">
        <v>2</v>
      </c>
      <c r="D75" s="32" t="s">
        <v>3</v>
      </c>
      <c r="E75" s="33" t="s">
        <v>4</v>
      </c>
      <c r="F75" s="34" t="s">
        <v>5</v>
      </c>
      <c r="G75" s="34" t="s">
        <v>5</v>
      </c>
      <c r="H75" s="51" t="s">
        <v>6</v>
      </c>
    </row>
    <row r="76" spans="1:10" ht="16.2" thickBot="1" x14ac:dyDescent="0.35">
      <c r="A76" s="144" t="s">
        <v>55</v>
      </c>
      <c r="B76" s="35">
        <v>46190</v>
      </c>
      <c r="C76" s="36">
        <v>0.125</v>
      </c>
      <c r="D76" s="37" t="s">
        <v>8</v>
      </c>
      <c r="E76" s="38" t="s">
        <v>56</v>
      </c>
      <c r="F76" s="52">
        <v>3</v>
      </c>
      <c r="G76" s="52">
        <v>0</v>
      </c>
      <c r="H76" s="46" t="s">
        <v>57</v>
      </c>
      <c r="J76" s="1" t="str">
        <f>IF(OR(Resultados!F76="",Resultados!G76=""),"",IF(AND(F76=Resultados!F76,G76=Resultados!G76),2,IF(((F76&gt;G76)=(Resultados!F76&gt;Resultados!G76))*((F76&lt;G76)=(Resultados!F76&lt;Resultados!G76)),1,0)))</f>
        <v/>
      </c>
    </row>
    <row r="77" spans="1:10" ht="16.2" thickBot="1" x14ac:dyDescent="0.35">
      <c r="A77" s="145"/>
      <c r="B77" s="35">
        <v>46190</v>
      </c>
      <c r="C77" s="36">
        <v>0.25</v>
      </c>
      <c r="D77" s="37" t="s">
        <v>8</v>
      </c>
      <c r="E77" s="38" t="s">
        <v>58</v>
      </c>
      <c r="F77" s="52">
        <v>1</v>
      </c>
      <c r="G77" s="52">
        <v>0</v>
      </c>
      <c r="H77" s="46" t="s">
        <v>59</v>
      </c>
      <c r="J77" s="1" t="str">
        <f>IF(OR(Resultados!F77="",Resultados!G77=""),"",IF(AND(F77=Resultados!F77,G77=Resultados!G77),2,IF(((F77&gt;G77)=(Resultados!F77&gt;Resultados!G77))*((F77&lt;G77)=(Resultados!F77&lt;Resultados!G77)),1,0)))</f>
        <v/>
      </c>
    </row>
    <row r="78" spans="1:10" ht="16.2" thickBot="1" x14ac:dyDescent="0.35">
      <c r="A78" s="145"/>
      <c r="B78" s="35">
        <v>46195</v>
      </c>
      <c r="C78" s="36">
        <v>0.79166666666666663</v>
      </c>
      <c r="D78" s="37" t="s">
        <v>13</v>
      </c>
      <c r="E78" s="38" t="s">
        <v>56</v>
      </c>
      <c r="F78" s="41">
        <v>3</v>
      </c>
      <c r="G78" s="41">
        <v>1</v>
      </c>
      <c r="H78" s="46" t="s">
        <v>58</v>
      </c>
      <c r="J78" s="1" t="str">
        <f>IF(OR(Resultados!F78="",Resultados!G78=""),"",IF(AND(F78=Resultados!F78,G78=Resultados!G78),2,IF(((F78&gt;G78)=(Resultados!F78&gt;Resultados!G78))*((F78&lt;G78)=(Resultados!F78&lt;Resultados!G78)),1,0)))</f>
        <v/>
      </c>
    </row>
    <row r="79" spans="1:10" ht="16.2" thickBot="1" x14ac:dyDescent="0.35">
      <c r="A79" s="145"/>
      <c r="B79" s="35">
        <v>46196</v>
      </c>
      <c r="C79" s="36">
        <v>0.20833333333333334</v>
      </c>
      <c r="D79" s="37" t="s">
        <v>13</v>
      </c>
      <c r="E79" s="38" t="s">
        <v>59</v>
      </c>
      <c r="F79" s="41">
        <v>0</v>
      </c>
      <c r="G79" s="41">
        <v>0</v>
      </c>
      <c r="H79" s="46" t="s">
        <v>57</v>
      </c>
      <c r="J79" s="1" t="str">
        <f>IF(OR(Resultados!F79="",Resultados!G79=""),"",IF(AND(F79=Resultados!F79,G79=Resultados!G79),2,IF(((F79&gt;G79)=(Resultados!F79&gt;Resultados!G79))*((F79&lt;G79)=(Resultados!F79&lt;Resultados!G79)),1,0)))</f>
        <v/>
      </c>
    </row>
    <row r="80" spans="1:10" ht="16.2" thickBot="1" x14ac:dyDescent="0.35">
      <c r="A80" s="145"/>
      <c r="B80" s="35">
        <v>46201</v>
      </c>
      <c r="C80" s="36">
        <v>0.16666666666666666</v>
      </c>
      <c r="D80" s="37" t="s">
        <v>14</v>
      </c>
      <c r="E80" s="38" t="s">
        <v>57</v>
      </c>
      <c r="F80" s="41">
        <v>0</v>
      </c>
      <c r="G80" s="41">
        <v>1</v>
      </c>
      <c r="H80" s="46" t="s">
        <v>58</v>
      </c>
      <c r="J80" s="1" t="str">
        <f>IF(OR(Resultados!F80="",Resultados!G80=""),"",IF(AND(F80=Resultados!F80,G80=Resultados!G80),2,IF(((F80&gt;G80)=(Resultados!F80&gt;Resultados!G80))*((F80&lt;G80)=(Resultados!F80&lt;Resultados!G80)),1,0)))</f>
        <v/>
      </c>
    </row>
    <row r="81" spans="1:10" ht="16.2" thickBot="1" x14ac:dyDescent="0.35">
      <c r="A81" s="146"/>
      <c r="B81" s="42">
        <v>46201</v>
      </c>
      <c r="C81" s="43">
        <v>0.16666666666666666</v>
      </c>
      <c r="D81" s="44" t="s">
        <v>14</v>
      </c>
      <c r="E81" s="45" t="s">
        <v>59</v>
      </c>
      <c r="F81" s="41">
        <v>0</v>
      </c>
      <c r="G81" s="41">
        <v>3</v>
      </c>
      <c r="H81" s="46" t="s">
        <v>56</v>
      </c>
      <c r="J81" s="1" t="str">
        <f>IF(OR(Resultados!F81="",Resultados!G81=""),"",IF(AND(F81=Resultados!F81,G81=Resultados!G81),2,IF(((F81&gt;G81)=(Resultados!F81&gt;Resultados!G81))*((F81&lt;G81)=(Resultados!F81&lt;Resultados!G81)),1,0)))</f>
        <v/>
      </c>
    </row>
    <row r="82" spans="1:10" ht="14.4" customHeight="1" thickBot="1" x14ac:dyDescent="0.35">
      <c r="A82" s="53"/>
      <c r="B82" s="53"/>
      <c r="C82" s="53"/>
      <c r="D82" s="53"/>
      <c r="E82" s="53"/>
      <c r="F82" s="53"/>
      <c r="G82" s="53"/>
      <c r="H82" s="54"/>
    </row>
    <row r="83" spans="1:10" ht="16.2" thickBot="1" x14ac:dyDescent="0.35">
      <c r="A83" s="50"/>
      <c r="B83" s="32" t="s">
        <v>1</v>
      </c>
      <c r="C83" s="32" t="s">
        <v>2</v>
      </c>
      <c r="D83" s="32" t="s">
        <v>3</v>
      </c>
      <c r="E83" s="33" t="s">
        <v>4</v>
      </c>
      <c r="F83" s="34" t="s">
        <v>5</v>
      </c>
      <c r="G83" s="34" t="s">
        <v>5</v>
      </c>
      <c r="H83" s="51" t="s">
        <v>6</v>
      </c>
    </row>
    <row r="84" spans="1:10" ht="16.2" thickBot="1" x14ac:dyDescent="0.35">
      <c r="A84" s="123" t="s">
        <v>60</v>
      </c>
      <c r="B84" s="35">
        <v>46190</v>
      </c>
      <c r="C84" s="36">
        <v>0.79166666666666663</v>
      </c>
      <c r="D84" s="37" t="s">
        <v>8</v>
      </c>
      <c r="E84" s="38" t="s">
        <v>61</v>
      </c>
      <c r="F84" s="52">
        <v>3</v>
      </c>
      <c r="G84" s="52">
        <v>0</v>
      </c>
      <c r="H84" s="46" t="s">
        <v>62</v>
      </c>
      <c r="J84" s="1" t="str">
        <f>IF(OR(Resultados!F84="",Resultados!G84=""),"",IF(AND(F84=Resultados!F84,G84=Resultados!G84),2,IF(((F84&gt;G84)=(Resultados!F84&gt;Resultados!G84))*((F84&lt;G84)=(Resultados!F84&lt;Resultados!G84)),1,0)))</f>
        <v/>
      </c>
    </row>
    <row r="85" spans="1:10" ht="16.2" thickBot="1" x14ac:dyDescent="0.35">
      <c r="A85" s="124"/>
      <c r="B85" s="35">
        <v>46191</v>
      </c>
      <c r="C85" s="36">
        <v>0.16666666666666666</v>
      </c>
      <c r="D85" s="37" t="s">
        <v>8</v>
      </c>
      <c r="E85" s="38" t="s">
        <v>63</v>
      </c>
      <c r="F85" s="52">
        <v>0</v>
      </c>
      <c r="G85" s="52">
        <v>2</v>
      </c>
      <c r="H85" s="46" t="s">
        <v>64</v>
      </c>
      <c r="J85" s="1" t="str">
        <f>IF(OR(Resultados!F85="",Resultados!G85=""),"",IF(AND(F85=Resultados!F85,G85=Resultados!G85),2,IF(((F85&gt;G85)=(Resultados!F85&gt;Resultados!G85))*((F85&lt;G85)=(Resultados!F85&lt;Resultados!G85)),1,0)))</f>
        <v/>
      </c>
    </row>
    <row r="86" spans="1:10" ht="16.2" thickBot="1" x14ac:dyDescent="0.35">
      <c r="A86" s="124"/>
      <c r="B86" s="35">
        <v>46196</v>
      </c>
      <c r="C86" s="36">
        <v>0.79166666666666663</v>
      </c>
      <c r="D86" s="37" t="s">
        <v>13</v>
      </c>
      <c r="E86" s="38" t="s">
        <v>61</v>
      </c>
      <c r="F86" s="41">
        <v>4</v>
      </c>
      <c r="G86" s="41">
        <v>1</v>
      </c>
      <c r="H86" s="46" t="s">
        <v>63</v>
      </c>
      <c r="J86" s="1" t="str">
        <f>IF(OR(Resultados!F86="",Resultados!G86=""),"",IF(AND(F86=Resultados!F86,G86=Resultados!G86),2,IF(((F86&gt;G86)=(Resultados!F86&gt;Resultados!G86))*((F86&lt;G86)=(Resultados!F86&lt;Resultados!G86)),1,0)))</f>
        <v/>
      </c>
    </row>
    <row r="87" spans="1:10" ht="16.2" thickBot="1" x14ac:dyDescent="0.35">
      <c r="A87" s="124"/>
      <c r="B87" s="35">
        <v>46197</v>
      </c>
      <c r="C87" s="36">
        <v>0.16666666666666666</v>
      </c>
      <c r="D87" s="37" t="s">
        <v>13</v>
      </c>
      <c r="E87" s="38" t="s">
        <v>64</v>
      </c>
      <c r="F87" s="41">
        <v>3</v>
      </c>
      <c r="G87" s="41">
        <v>1</v>
      </c>
      <c r="H87" s="46" t="s">
        <v>62</v>
      </c>
      <c r="J87" s="1" t="str">
        <f>IF(OR(Resultados!F87="",Resultados!G87=""),"",IF(AND(F87=Resultados!F87,G87=Resultados!G87),2,IF(((F87&gt;G87)=(Resultados!F87&gt;Resultados!G87))*((F87&lt;G87)=(Resultados!F87&lt;Resultados!G87)),1,0)))</f>
        <v/>
      </c>
    </row>
    <row r="88" spans="1:10" ht="16.2" thickBot="1" x14ac:dyDescent="0.35">
      <c r="A88" s="124"/>
      <c r="B88" s="35">
        <v>46201</v>
      </c>
      <c r="C88" s="36">
        <v>6.25E-2</v>
      </c>
      <c r="D88" s="37" t="s">
        <v>14</v>
      </c>
      <c r="E88" s="38" t="s">
        <v>64</v>
      </c>
      <c r="F88" s="41">
        <v>1</v>
      </c>
      <c r="G88" s="41">
        <v>2</v>
      </c>
      <c r="H88" s="46" t="s">
        <v>61</v>
      </c>
      <c r="J88" s="1" t="str">
        <f>IF(OR(Resultados!F88="",Resultados!G88=""),"",IF(AND(F88=Resultados!F88,G88=Resultados!G88),2,IF(((F88&gt;G88)=(Resultados!F88&gt;Resultados!G88))*((F88&lt;G88)=(Resultados!F88&lt;Resultados!G88)),1,0)))</f>
        <v/>
      </c>
    </row>
    <row r="89" spans="1:10" ht="16.2" thickBot="1" x14ac:dyDescent="0.35">
      <c r="A89" s="125"/>
      <c r="B89" s="42">
        <v>46201</v>
      </c>
      <c r="C89" s="43">
        <v>6.25E-2</v>
      </c>
      <c r="D89" s="44" t="s">
        <v>14</v>
      </c>
      <c r="E89" s="45" t="s">
        <v>62</v>
      </c>
      <c r="F89" s="41">
        <v>0</v>
      </c>
      <c r="G89" s="41">
        <v>0</v>
      </c>
      <c r="H89" s="46" t="s">
        <v>63</v>
      </c>
      <c r="J89" s="1" t="str">
        <f>IF(OR(Resultados!F89="",Resultados!G89=""),"",IF(AND(F89=Resultados!F89,G89=Resultados!G89),2,IF(((F89&gt;G89)=(Resultados!F89&gt;Resultados!G89))*((F89&lt;G89)=(Resultados!F89&lt;Resultados!G89)),1,0)))</f>
        <v/>
      </c>
    </row>
    <row r="90" spans="1:10" ht="16.2" thickBot="1" x14ac:dyDescent="0.35">
      <c r="A90" s="47"/>
      <c r="B90" s="48"/>
      <c r="C90" s="48"/>
      <c r="D90" s="48"/>
      <c r="E90" s="48"/>
      <c r="F90" s="48"/>
      <c r="G90" s="48"/>
      <c r="H90" s="49"/>
    </row>
    <row r="91" spans="1:10" ht="16.2" thickBot="1" x14ac:dyDescent="0.35">
      <c r="A91" s="50"/>
      <c r="B91" s="32" t="s">
        <v>1</v>
      </c>
      <c r="C91" s="32" t="s">
        <v>2</v>
      </c>
      <c r="D91" s="32" t="s">
        <v>3</v>
      </c>
      <c r="E91" s="33" t="s">
        <v>4</v>
      </c>
      <c r="F91" s="34" t="s">
        <v>5</v>
      </c>
      <c r="G91" s="34" t="s">
        <v>5</v>
      </c>
      <c r="H91" s="51" t="s">
        <v>6</v>
      </c>
    </row>
    <row r="92" spans="1:10" ht="16.2" thickBot="1" x14ac:dyDescent="0.35">
      <c r="A92" s="126" t="s">
        <v>65</v>
      </c>
      <c r="B92" s="35">
        <v>46190</v>
      </c>
      <c r="C92" s="36">
        <v>0.91666666666666663</v>
      </c>
      <c r="D92" s="37" t="s">
        <v>8</v>
      </c>
      <c r="E92" s="38" t="s">
        <v>66</v>
      </c>
      <c r="F92" s="52">
        <v>2</v>
      </c>
      <c r="G92" s="52">
        <v>2</v>
      </c>
      <c r="H92" s="46" t="s">
        <v>67</v>
      </c>
      <c r="J92" s="1" t="str">
        <f>IF(OR(Resultados!F92="",Resultados!G92=""),"",IF(AND(F92=Resultados!F92,G92=Resultados!G92),2,IF(((F92&gt;G92)=(Resultados!F92&gt;Resultados!G92))*((F92&lt;G92)=(Resultados!F92&lt;Resultados!G92)),1,0)))</f>
        <v/>
      </c>
    </row>
    <row r="93" spans="1:10" ht="16.2" thickBot="1" x14ac:dyDescent="0.35">
      <c r="A93" s="127"/>
      <c r="B93" s="35">
        <v>46191</v>
      </c>
      <c r="C93" s="36">
        <v>4.1666666666666664E-2</v>
      </c>
      <c r="D93" s="37" t="s">
        <v>8</v>
      </c>
      <c r="E93" s="38" t="s">
        <v>68</v>
      </c>
      <c r="F93" s="52">
        <v>1</v>
      </c>
      <c r="G93" s="52">
        <v>2</v>
      </c>
      <c r="H93" s="46" t="s">
        <v>69</v>
      </c>
      <c r="J93" s="1" t="str">
        <f>IF(OR(Resultados!F93="",Resultados!G93=""),"",IF(AND(F93=Resultados!F93,G93=Resultados!G93),2,IF(((F93&gt;G93)=(Resultados!F93&gt;Resultados!G93))*((F93&lt;G93)=(Resultados!F93&lt;Resultados!G93)),1,0)))</f>
        <v/>
      </c>
    </row>
    <row r="94" spans="1:10" ht="16.2" thickBot="1" x14ac:dyDescent="0.35">
      <c r="A94" s="127"/>
      <c r="B94" s="35">
        <v>46196</v>
      </c>
      <c r="C94" s="36">
        <v>0.91666666666666663</v>
      </c>
      <c r="D94" s="37" t="s">
        <v>13</v>
      </c>
      <c r="E94" s="38" t="s">
        <v>66</v>
      </c>
      <c r="F94" s="41">
        <v>2</v>
      </c>
      <c r="G94" s="41">
        <v>0</v>
      </c>
      <c r="H94" s="46" t="s">
        <v>68</v>
      </c>
      <c r="J94" s="1" t="str">
        <f>IF(OR(Resultados!F94="",Resultados!G94=""),"",IF(AND(F94=Resultados!F94,G94=Resultados!G94),2,IF(((F94&gt;G94)=(Resultados!F94&gt;Resultados!G94))*((F94&lt;G94)=(Resultados!F94&lt;Resultados!G94)),1,0)))</f>
        <v/>
      </c>
    </row>
    <row r="95" spans="1:10" ht="16.2" thickBot="1" x14ac:dyDescent="0.35">
      <c r="A95" s="127"/>
      <c r="B95" s="35">
        <v>46197</v>
      </c>
      <c r="C95" s="36">
        <v>4.1666666666666664E-2</v>
      </c>
      <c r="D95" s="37" t="s">
        <v>13</v>
      </c>
      <c r="E95" s="38" t="s">
        <v>69</v>
      </c>
      <c r="F95" s="41">
        <v>1</v>
      </c>
      <c r="G95" s="41">
        <v>1</v>
      </c>
      <c r="H95" s="46" t="s">
        <v>67</v>
      </c>
      <c r="J95" s="1" t="str">
        <f>IF(OR(Resultados!F95="",Resultados!G95=""),"",IF(AND(F95=Resultados!F95,G95=Resultados!G95),2,IF(((F95&gt;G95)=(Resultados!F95&gt;Resultados!G95))*((F95&lt;G95)=(Resultados!F95&lt;Resultados!G95)),1,0)))</f>
        <v/>
      </c>
    </row>
    <row r="96" spans="1:10" ht="16.2" thickBot="1" x14ac:dyDescent="0.35">
      <c r="A96" s="127"/>
      <c r="B96" s="35">
        <v>46200</v>
      </c>
      <c r="C96" s="36">
        <v>0.95833333333333337</v>
      </c>
      <c r="D96" s="37" t="s">
        <v>14</v>
      </c>
      <c r="E96" s="38" t="s">
        <v>69</v>
      </c>
      <c r="F96" s="41">
        <v>1</v>
      </c>
      <c r="G96" s="41">
        <v>2</v>
      </c>
      <c r="H96" s="46" t="s">
        <v>66</v>
      </c>
      <c r="J96" s="1" t="str">
        <f>IF(OR(Resultados!F96="",Resultados!G96=""),"",IF(AND(F96=Resultados!F96,G96=Resultados!G96),2,IF(((F96&gt;G96)=(Resultados!F96&gt;Resultados!G96))*((F96&lt;G96)=(Resultados!F96&lt;Resultados!G96)),1,0)))</f>
        <v/>
      </c>
    </row>
    <row r="97" spans="1:10" ht="16.2" thickBot="1" x14ac:dyDescent="0.35">
      <c r="A97" s="128"/>
      <c r="B97" s="42">
        <v>46200</v>
      </c>
      <c r="C97" s="43">
        <v>0.95833333333333337</v>
      </c>
      <c r="D97" s="44" t="s">
        <v>14</v>
      </c>
      <c r="E97" s="45" t="s">
        <v>67</v>
      </c>
      <c r="F97" s="41">
        <v>2</v>
      </c>
      <c r="G97" s="41">
        <v>0</v>
      </c>
      <c r="H97" s="46" t="s">
        <v>68</v>
      </c>
      <c r="J97" s="1" t="str">
        <f>IF(OR(Resultados!F97="",Resultados!G97=""),"",IF(AND(F97=Resultados!F97,G97=Resultados!G97),2,IF(((F97&gt;G97)=(Resultados!F97&gt;Resultados!G97))*((F97&lt;G97)=(Resultados!F97&lt;Resultados!G97)),1,0)))</f>
        <v/>
      </c>
    </row>
  </sheetData>
  <mergeCells count="14">
    <mergeCell ref="A84:A89"/>
    <mergeCell ref="A92:A97"/>
    <mergeCell ref="A36:A41"/>
    <mergeCell ref="A44:A49"/>
    <mergeCell ref="A52:A57"/>
    <mergeCell ref="A60:A65"/>
    <mergeCell ref="A68:A73"/>
    <mergeCell ref="A76:A81"/>
    <mergeCell ref="A28:A33"/>
    <mergeCell ref="A1:H1"/>
    <mergeCell ref="A2:H2"/>
    <mergeCell ref="A4:A9"/>
    <mergeCell ref="A12:A17"/>
    <mergeCell ref="A20:A25"/>
  </mergeCells>
  <pageMargins left="0.7" right="0.7" top="0.75" bottom="0.75" header="0.3" footer="0.3"/>
  <ignoredErrors>
    <ignoredError sqref="J6:J68 J69:J97 L4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415B-1E34-40D0-9D94-2EA4018B5758}">
  <dimension ref="A1:L97"/>
  <sheetViews>
    <sheetView topLeftCell="A32" zoomScale="96" workbookViewId="0">
      <selection activeCell="K40" sqref="K40"/>
    </sheetView>
  </sheetViews>
  <sheetFormatPr baseColWidth="10" defaultRowHeight="15.6" x14ac:dyDescent="0.3"/>
  <cols>
    <col min="1" max="1" width="7.6640625" style="1" bestFit="1" customWidth="1"/>
    <col min="2" max="2" width="11.21875" style="1" bestFit="1" customWidth="1"/>
    <col min="3" max="3" width="6" style="1" bestFit="1" customWidth="1"/>
    <col min="4" max="4" width="4.88671875" style="1" bestFit="1" customWidth="1"/>
    <col min="5" max="5" width="17.109375" style="2" bestFit="1" customWidth="1"/>
    <col min="6" max="7" width="4.5546875" style="2" bestFit="1" customWidth="1"/>
    <col min="8" max="8" width="17.109375" style="1" bestFit="1" customWidth="1"/>
    <col min="9" max="9" width="6.109375" style="1" customWidth="1"/>
    <col min="10" max="10" width="7.77734375" style="1" bestFit="1" customWidth="1"/>
    <col min="11" max="11" width="6.109375" style="1" customWidth="1"/>
    <col min="12" max="16384" width="11.5546875" style="1"/>
  </cols>
  <sheetData>
    <row r="1" spans="1:12" ht="25.8" thickBot="1" x14ac:dyDescent="0.35">
      <c r="A1" s="63" t="s">
        <v>0</v>
      </c>
      <c r="B1" s="64"/>
      <c r="C1" s="64"/>
      <c r="D1" s="64"/>
      <c r="E1" s="64"/>
      <c r="F1" s="64"/>
      <c r="G1" s="64"/>
      <c r="H1" s="65"/>
    </row>
    <row r="2" spans="1:12" ht="16.2" thickBot="1" x14ac:dyDescent="0.35">
      <c r="A2" s="66"/>
      <c r="B2" s="67"/>
      <c r="C2" s="67"/>
      <c r="D2" s="67"/>
      <c r="E2" s="67"/>
      <c r="F2" s="67"/>
      <c r="G2" s="67"/>
      <c r="H2" s="68"/>
    </row>
    <row r="3" spans="1:12" s="2" customFormat="1" ht="16.2" thickBot="1" x14ac:dyDescent="0.35">
      <c r="A3" s="3"/>
      <c r="B3" s="4" t="s">
        <v>1</v>
      </c>
      <c r="C3" s="4" t="s">
        <v>2</v>
      </c>
      <c r="D3" s="4" t="s">
        <v>3</v>
      </c>
      <c r="E3" s="5" t="s">
        <v>4</v>
      </c>
      <c r="F3" s="6" t="s">
        <v>5</v>
      </c>
      <c r="G3" s="6" t="s">
        <v>5</v>
      </c>
      <c r="H3" s="4" t="s">
        <v>6</v>
      </c>
      <c r="J3" s="30" t="s">
        <v>71</v>
      </c>
      <c r="L3" s="2" t="s">
        <v>73</v>
      </c>
    </row>
    <row r="4" spans="1:12" ht="16.2" thickBot="1" x14ac:dyDescent="0.35">
      <c r="A4" s="90" t="s">
        <v>7</v>
      </c>
      <c r="B4" s="7">
        <v>46184</v>
      </c>
      <c r="C4" s="8">
        <v>0.875</v>
      </c>
      <c r="D4" s="9" t="s">
        <v>8</v>
      </c>
      <c r="E4" s="10" t="s">
        <v>9</v>
      </c>
      <c r="F4" s="11">
        <v>2</v>
      </c>
      <c r="G4" s="11">
        <v>0</v>
      </c>
      <c r="H4" s="20" t="s">
        <v>10</v>
      </c>
      <c r="L4" s="1">
        <f>SUM(J:J)</f>
        <v>3</v>
      </c>
    </row>
    <row r="5" spans="1:12" ht="16.2" thickBot="1" x14ac:dyDescent="0.35">
      <c r="A5" s="91"/>
      <c r="B5" s="7">
        <v>46185</v>
      </c>
      <c r="C5" s="8">
        <v>0.16666666666666666</v>
      </c>
      <c r="D5" s="9" t="s">
        <v>8</v>
      </c>
      <c r="E5" s="10" t="s">
        <v>11</v>
      </c>
      <c r="F5" s="11">
        <v>2</v>
      </c>
      <c r="G5" s="11">
        <v>1</v>
      </c>
      <c r="H5" s="20" t="s">
        <v>12</v>
      </c>
    </row>
    <row r="6" spans="1:12" ht="16.2" thickBot="1" x14ac:dyDescent="0.35">
      <c r="A6" s="91"/>
      <c r="B6" s="7">
        <v>46191</v>
      </c>
      <c r="C6" s="8">
        <v>0.75</v>
      </c>
      <c r="D6" s="9" t="s">
        <v>13</v>
      </c>
      <c r="E6" s="10" t="s">
        <v>12</v>
      </c>
      <c r="F6" s="25">
        <v>2</v>
      </c>
      <c r="G6" s="25">
        <v>0</v>
      </c>
      <c r="H6" s="20" t="s">
        <v>10</v>
      </c>
      <c r="J6" s="1" t="str">
        <f>IF(OR(Resultados!F6="",Resultados!G6=""),"",IF(AND(F6=Resultados!F6,G6=Resultados!G6),2,IF(((F6&gt;G6)=(Resultados!F6&gt;Resultados!G6))*((F6&lt;G6)=(Resultados!F6&lt;Resultados!G6)),1,0)))</f>
        <v/>
      </c>
    </row>
    <row r="7" spans="1:12" ht="16.2" thickBot="1" x14ac:dyDescent="0.35">
      <c r="A7" s="91"/>
      <c r="B7" s="7">
        <v>46192</v>
      </c>
      <c r="C7" s="8">
        <v>0.125</v>
      </c>
      <c r="D7" s="9" t="s">
        <v>13</v>
      </c>
      <c r="E7" s="10" t="s">
        <v>9</v>
      </c>
      <c r="F7" s="25">
        <v>1</v>
      </c>
      <c r="G7" s="25">
        <v>1</v>
      </c>
      <c r="H7" s="20" t="s">
        <v>11</v>
      </c>
      <c r="J7" s="1" t="str">
        <f>IF(OR(Resultados!F7="",Resultados!G7=""),"",IF(AND(F7=Resultados!F7,G7=Resultados!G7),2,IF(((F7&gt;G7)=(Resultados!F7&gt;Resultados!G7))*((F7&lt;G7)=(Resultados!F7&lt;Resultados!G7)),1,0)))</f>
        <v/>
      </c>
    </row>
    <row r="8" spans="1:12" ht="16.2" thickBot="1" x14ac:dyDescent="0.35">
      <c r="A8" s="91"/>
      <c r="B8" s="7">
        <v>46198</v>
      </c>
      <c r="C8" s="8">
        <v>0.125</v>
      </c>
      <c r="D8" s="9" t="s">
        <v>14</v>
      </c>
      <c r="E8" s="10" t="s">
        <v>12</v>
      </c>
      <c r="F8" s="25">
        <v>0</v>
      </c>
      <c r="G8" s="25">
        <v>1</v>
      </c>
      <c r="H8" s="20" t="s">
        <v>9</v>
      </c>
      <c r="J8" s="1" t="str">
        <f>IF(OR(Resultados!F8="",Resultados!G8=""),"",IF(AND(F8=Resultados!F8,G8=Resultados!G8),2,IF(((F8&gt;G8)=(Resultados!F8&gt;Resultados!G8))*((F8&lt;G8)=(Resultados!F8&lt;Resultados!G8)),1,0)))</f>
        <v/>
      </c>
    </row>
    <row r="9" spans="1:12" ht="16.2" thickBot="1" x14ac:dyDescent="0.35">
      <c r="A9" s="92"/>
      <c r="B9" s="12">
        <v>46198</v>
      </c>
      <c r="C9" s="13">
        <v>0.125</v>
      </c>
      <c r="D9" s="14" t="s">
        <v>14</v>
      </c>
      <c r="E9" s="15" t="s">
        <v>10</v>
      </c>
      <c r="F9" s="25">
        <v>0</v>
      </c>
      <c r="G9" s="25">
        <v>3</v>
      </c>
      <c r="H9" s="21" t="s">
        <v>11</v>
      </c>
      <c r="J9" s="1" t="str">
        <f>IF(OR(Resultados!F9="",Resultados!G9=""),"",IF(AND(F9=Resultados!F9,G9=Resultados!G9),2,IF(((F9&gt;G9)=(Resultados!F9&gt;Resultados!G9))*((F9&lt;G9)=(Resultados!F9&lt;Resultados!G9)),1,0)))</f>
        <v/>
      </c>
    </row>
    <row r="10" spans="1:12" ht="16.2" thickBot="1" x14ac:dyDescent="0.35">
      <c r="A10" s="17"/>
      <c r="B10" s="18"/>
      <c r="C10" s="18"/>
      <c r="D10" s="18"/>
      <c r="E10" s="18"/>
      <c r="F10" s="18"/>
      <c r="G10" s="18"/>
      <c r="H10" s="22"/>
    </row>
    <row r="11" spans="1:12" ht="16.2" thickBot="1" x14ac:dyDescent="0.35">
      <c r="A11" s="16"/>
      <c r="B11" s="4" t="s">
        <v>1</v>
      </c>
      <c r="C11" s="4" t="s">
        <v>2</v>
      </c>
      <c r="D11" s="4" t="s">
        <v>3</v>
      </c>
      <c r="E11" s="5" t="s">
        <v>4</v>
      </c>
      <c r="F11" s="6" t="s">
        <v>5</v>
      </c>
      <c r="G11" s="6" t="s">
        <v>5</v>
      </c>
      <c r="H11" s="23" t="s">
        <v>6</v>
      </c>
    </row>
    <row r="12" spans="1:12" ht="16.2" thickBot="1" x14ac:dyDescent="0.35">
      <c r="A12" s="93" t="s">
        <v>15</v>
      </c>
      <c r="B12" s="7">
        <v>46185</v>
      </c>
      <c r="C12" s="8">
        <v>0.875</v>
      </c>
      <c r="D12" s="9" t="s">
        <v>8</v>
      </c>
      <c r="E12" s="10" t="s">
        <v>16</v>
      </c>
      <c r="F12" s="11">
        <v>1</v>
      </c>
      <c r="G12" s="11">
        <v>1</v>
      </c>
      <c r="H12" s="21" t="s">
        <v>17</v>
      </c>
    </row>
    <row r="13" spans="1:12" ht="16.2" thickBot="1" x14ac:dyDescent="0.35">
      <c r="A13" s="94"/>
      <c r="B13" s="7">
        <v>46186</v>
      </c>
      <c r="C13" s="8">
        <v>0.875</v>
      </c>
      <c r="D13" s="9" t="s">
        <v>8</v>
      </c>
      <c r="E13" s="10" t="s">
        <v>18</v>
      </c>
      <c r="F13" s="11">
        <v>1</v>
      </c>
      <c r="G13" s="11">
        <v>1</v>
      </c>
      <c r="H13" s="21" t="s">
        <v>19</v>
      </c>
    </row>
    <row r="14" spans="1:12" ht="16.2" thickBot="1" x14ac:dyDescent="0.35">
      <c r="A14" s="94"/>
      <c r="B14" s="7">
        <v>46191</v>
      </c>
      <c r="C14" s="8">
        <v>0.875</v>
      </c>
      <c r="D14" s="9" t="s">
        <v>13</v>
      </c>
      <c r="E14" s="10" t="s">
        <v>19</v>
      </c>
      <c r="F14" s="25">
        <v>2</v>
      </c>
      <c r="G14" s="25">
        <v>1</v>
      </c>
      <c r="H14" s="21" t="s">
        <v>17</v>
      </c>
      <c r="J14" s="1" t="str">
        <f>IF(OR(Resultados!F14="",Resultados!G14=""),"",IF(AND(F14=Resultados!F14,G14=Resultados!G14),2,IF(((F14&gt;G14)=(Resultados!F14&gt;Resultados!G14))*((F14&lt;G14)=(Resultados!F14&lt;Resultados!G14)),1,0)))</f>
        <v/>
      </c>
    </row>
    <row r="15" spans="1:12" ht="16.2" thickBot="1" x14ac:dyDescent="0.35">
      <c r="A15" s="94"/>
      <c r="B15" s="7">
        <v>46192</v>
      </c>
      <c r="C15" s="8">
        <v>0</v>
      </c>
      <c r="D15" s="9" t="s">
        <v>13</v>
      </c>
      <c r="E15" s="10" t="s">
        <v>16</v>
      </c>
      <c r="F15" s="25">
        <v>1</v>
      </c>
      <c r="G15" s="25">
        <v>0</v>
      </c>
      <c r="H15" s="21" t="s">
        <v>18</v>
      </c>
      <c r="J15" s="1" t="str">
        <f>IF(OR(Resultados!F15="",Resultados!G15=""),"",IF(AND(F15=Resultados!F15,G15=Resultados!G15),2,IF(((F15&gt;G15)=(Resultados!F15&gt;Resultados!G15))*((F15&lt;G15)=(Resultados!F15&lt;Resultados!G15)),1,0)))</f>
        <v/>
      </c>
    </row>
    <row r="16" spans="1:12" ht="16.2" thickBot="1" x14ac:dyDescent="0.35">
      <c r="A16" s="94"/>
      <c r="B16" s="7">
        <v>46197</v>
      </c>
      <c r="C16" s="8">
        <v>0.875</v>
      </c>
      <c r="D16" s="9" t="s">
        <v>14</v>
      </c>
      <c r="E16" s="10" t="s">
        <v>19</v>
      </c>
      <c r="F16" s="25">
        <v>0</v>
      </c>
      <c r="G16" s="25">
        <v>1</v>
      </c>
      <c r="H16" s="21" t="s">
        <v>16</v>
      </c>
      <c r="J16" s="1" t="str">
        <f>IF(OR(Resultados!F16="",Resultados!G16=""),"",IF(AND(F16=Resultados!F16,G16=Resultados!G16),2,IF(((F16&gt;G16)=(Resultados!F16&gt;Resultados!G16))*((F16&lt;G16)=(Resultados!F16&lt;Resultados!G16)),1,0)))</f>
        <v/>
      </c>
    </row>
    <row r="17" spans="1:10" ht="16.2" thickBot="1" x14ac:dyDescent="0.35">
      <c r="A17" s="95"/>
      <c r="B17" s="12">
        <v>46197</v>
      </c>
      <c r="C17" s="13">
        <v>0.875</v>
      </c>
      <c r="D17" s="14" t="s">
        <v>14</v>
      </c>
      <c r="E17" s="15" t="s">
        <v>17</v>
      </c>
      <c r="F17" s="25">
        <v>1</v>
      </c>
      <c r="G17" s="25">
        <v>1</v>
      </c>
      <c r="H17" s="21" t="s">
        <v>18</v>
      </c>
      <c r="J17" s="1" t="str">
        <f>IF(OR(Resultados!F17="",Resultados!G17=""),"",IF(AND(F17=Resultados!F17,G17=Resultados!G17),2,IF(((F17&gt;G17)=(Resultados!F17&gt;Resultados!G17))*((F17&lt;G17)=(Resultados!F17&lt;Resultados!G17)),1,0)))</f>
        <v/>
      </c>
    </row>
    <row r="18" spans="1:10" ht="16.2" thickBot="1" x14ac:dyDescent="0.35">
      <c r="A18" s="17"/>
      <c r="B18" s="18"/>
      <c r="C18" s="18"/>
      <c r="D18" s="18"/>
      <c r="E18" s="18"/>
      <c r="F18" s="18"/>
      <c r="G18" s="18"/>
      <c r="H18" s="22"/>
    </row>
    <row r="19" spans="1:10" ht="16.2" thickBot="1" x14ac:dyDescent="0.35">
      <c r="A19" s="16"/>
      <c r="B19" s="4" t="s">
        <v>1</v>
      </c>
      <c r="C19" s="4" t="s">
        <v>2</v>
      </c>
      <c r="D19" s="4" t="s">
        <v>3</v>
      </c>
      <c r="E19" s="5" t="s">
        <v>4</v>
      </c>
      <c r="F19" s="6" t="s">
        <v>5</v>
      </c>
      <c r="G19" s="6" t="s">
        <v>5</v>
      </c>
      <c r="H19" s="23" t="s">
        <v>6</v>
      </c>
    </row>
    <row r="20" spans="1:10" ht="16.2" thickBot="1" x14ac:dyDescent="0.35">
      <c r="A20" s="96" t="s">
        <v>20</v>
      </c>
      <c r="B20" s="7">
        <v>46187</v>
      </c>
      <c r="C20" s="8">
        <v>0</v>
      </c>
      <c r="D20" s="9" t="s">
        <v>8</v>
      </c>
      <c r="E20" s="10" t="s">
        <v>21</v>
      </c>
      <c r="F20" s="11">
        <v>1</v>
      </c>
      <c r="G20" s="11">
        <v>1</v>
      </c>
      <c r="H20" s="21" t="s">
        <v>22</v>
      </c>
    </row>
    <row r="21" spans="1:10" ht="16.2" thickBot="1" x14ac:dyDescent="0.35">
      <c r="A21" s="97"/>
      <c r="B21" s="7">
        <v>46187</v>
      </c>
      <c r="C21" s="8">
        <v>0.125</v>
      </c>
      <c r="D21" s="9" t="s">
        <v>8</v>
      </c>
      <c r="E21" s="10" t="s">
        <v>23</v>
      </c>
      <c r="F21" s="26">
        <v>0</v>
      </c>
      <c r="G21" s="26">
        <v>2</v>
      </c>
      <c r="H21" s="21" t="s">
        <v>24</v>
      </c>
      <c r="J21" s="1">
        <f>IF(OR(Resultados!F21="",Resultados!G21=""),"",IF(AND(F21=Resultados!F21,G21=Resultados!G21),2,IF(((F21&gt;G21)=(Resultados!F21&gt;Resultados!G21))*((F21&lt;G21)=(Resultados!F21&lt;Resultados!G21)),1,0)))</f>
        <v>1</v>
      </c>
    </row>
    <row r="22" spans="1:10" ht="16.2" thickBot="1" x14ac:dyDescent="0.35">
      <c r="A22" s="97"/>
      <c r="B22" s="7">
        <v>46193</v>
      </c>
      <c r="C22" s="8">
        <v>0</v>
      </c>
      <c r="D22" s="9" t="s">
        <v>13</v>
      </c>
      <c r="E22" s="10" t="s">
        <v>24</v>
      </c>
      <c r="F22" s="25">
        <v>0</v>
      </c>
      <c r="G22" s="25">
        <v>2</v>
      </c>
      <c r="H22" s="21" t="s">
        <v>22</v>
      </c>
      <c r="J22" s="1" t="str">
        <f>IF(OR(Resultados!F22="",Resultados!G22=""),"",IF(AND(F22=Resultados!F22,G22=Resultados!G22),2,IF(((F22&gt;G22)=(Resultados!F22&gt;Resultados!G22))*((F22&lt;G22)=(Resultados!F22&lt;Resultados!G22)),1,0)))</f>
        <v/>
      </c>
    </row>
    <row r="23" spans="1:10" ht="16.2" thickBot="1" x14ac:dyDescent="0.35">
      <c r="A23" s="97"/>
      <c r="B23" s="7">
        <v>46193</v>
      </c>
      <c r="C23" s="8">
        <v>0.10416666666666667</v>
      </c>
      <c r="D23" s="9" t="s">
        <v>13</v>
      </c>
      <c r="E23" s="10" t="s">
        <v>21</v>
      </c>
      <c r="F23" s="25">
        <v>4</v>
      </c>
      <c r="G23" s="25">
        <v>0</v>
      </c>
      <c r="H23" s="21" t="s">
        <v>23</v>
      </c>
      <c r="J23" s="1" t="str">
        <f>IF(OR(Resultados!F23="",Resultados!G23=""),"",IF(AND(F23=Resultados!F23,G23=Resultados!G23),2,IF(((F23&gt;G23)=(Resultados!F23&gt;Resultados!G23))*((F23&lt;G23)=(Resultados!F23&lt;Resultados!G23)),1,0)))</f>
        <v/>
      </c>
    </row>
    <row r="24" spans="1:10" ht="16.2" thickBot="1" x14ac:dyDescent="0.35">
      <c r="A24" s="97"/>
      <c r="B24" s="7">
        <v>46198</v>
      </c>
      <c r="C24" s="8">
        <v>0</v>
      </c>
      <c r="D24" s="9" t="s">
        <v>14</v>
      </c>
      <c r="E24" s="10" t="s">
        <v>24</v>
      </c>
      <c r="F24" s="25">
        <v>0</v>
      </c>
      <c r="G24" s="25">
        <v>2</v>
      </c>
      <c r="H24" s="21" t="s">
        <v>21</v>
      </c>
      <c r="J24" s="1" t="str">
        <f>IF(OR(Resultados!F24="",Resultados!G24=""),"",IF(AND(F24=Resultados!F24,G24=Resultados!G24),2,IF(((F24&gt;G24)=(Resultados!F24&gt;Resultados!G24))*((F24&lt;G24)=(Resultados!F24&lt;Resultados!G24)),1,0)))</f>
        <v/>
      </c>
    </row>
    <row r="25" spans="1:10" ht="16.2" thickBot="1" x14ac:dyDescent="0.35">
      <c r="A25" s="98"/>
      <c r="B25" s="12">
        <v>46198</v>
      </c>
      <c r="C25" s="13">
        <v>0</v>
      </c>
      <c r="D25" s="14" t="s">
        <v>14</v>
      </c>
      <c r="E25" s="15" t="s">
        <v>22</v>
      </c>
      <c r="F25" s="25">
        <v>4</v>
      </c>
      <c r="G25" s="25">
        <v>0</v>
      </c>
      <c r="H25" s="21" t="s">
        <v>23</v>
      </c>
      <c r="J25" s="1" t="str">
        <f>IF(OR(Resultados!F25="",Resultados!G25=""),"",IF(AND(F25=Resultados!F25,G25=Resultados!G25),2,IF(((F25&gt;G25)=(Resultados!F25&gt;Resultados!G25))*((F25&lt;G25)=(Resultados!F25&lt;Resultados!G25)),1,0)))</f>
        <v/>
      </c>
    </row>
    <row r="26" spans="1:10" ht="16.2" thickBot="1" x14ac:dyDescent="0.35">
      <c r="A26" s="19"/>
      <c r="B26" s="19"/>
      <c r="C26" s="19"/>
      <c r="D26" s="19"/>
      <c r="E26" s="19"/>
      <c r="F26" s="19"/>
      <c r="G26" s="19"/>
      <c r="H26" s="24"/>
    </row>
    <row r="27" spans="1:10" ht="16.2" thickBot="1" x14ac:dyDescent="0.35">
      <c r="A27" s="16"/>
      <c r="B27" s="4" t="s">
        <v>1</v>
      </c>
      <c r="C27" s="4" t="s">
        <v>2</v>
      </c>
      <c r="D27" s="4" t="s">
        <v>3</v>
      </c>
      <c r="E27" s="5" t="s">
        <v>4</v>
      </c>
      <c r="F27" s="6" t="s">
        <v>5</v>
      </c>
      <c r="G27" s="6" t="s">
        <v>5</v>
      </c>
      <c r="H27" s="23" t="s">
        <v>6</v>
      </c>
    </row>
    <row r="28" spans="1:10" ht="16.2" thickBot="1" x14ac:dyDescent="0.35">
      <c r="A28" s="99" t="s">
        <v>25</v>
      </c>
      <c r="B28" s="7">
        <v>46186</v>
      </c>
      <c r="C28" s="8">
        <v>0.125</v>
      </c>
      <c r="D28" s="9" t="s">
        <v>8</v>
      </c>
      <c r="E28" s="10" t="s">
        <v>26</v>
      </c>
      <c r="F28" s="11">
        <v>4</v>
      </c>
      <c r="G28" s="11">
        <v>1</v>
      </c>
      <c r="H28" s="21" t="s">
        <v>27</v>
      </c>
    </row>
    <row r="29" spans="1:10" ht="16.2" thickBot="1" x14ac:dyDescent="0.35">
      <c r="A29" s="100"/>
      <c r="B29" s="7">
        <v>46187</v>
      </c>
      <c r="C29" s="8">
        <v>0.25</v>
      </c>
      <c r="D29" s="9" t="s">
        <v>8</v>
      </c>
      <c r="E29" s="10" t="s">
        <v>28</v>
      </c>
      <c r="F29" s="26">
        <v>0</v>
      </c>
      <c r="G29" s="26">
        <v>2</v>
      </c>
      <c r="H29" s="21" t="s">
        <v>29</v>
      </c>
      <c r="J29" s="1">
        <f>IF(OR(Resultados!F29="",Resultados!G29=""),"",IF(AND(F29=Resultados!F29,G29=Resultados!G29),2,IF(((F29&gt;G29)=(Resultados!F29&gt;Resultados!G29))*((F29&lt;G29)=(Resultados!F29&lt;Resultados!G29)),1,0)))</f>
        <v>0</v>
      </c>
    </row>
    <row r="30" spans="1:10" ht="16.2" thickBot="1" x14ac:dyDescent="0.35">
      <c r="A30" s="100"/>
      <c r="B30" s="7">
        <v>46192</v>
      </c>
      <c r="C30" s="8">
        <v>0.875</v>
      </c>
      <c r="D30" s="9" t="s">
        <v>13</v>
      </c>
      <c r="E30" s="10" t="s">
        <v>26</v>
      </c>
      <c r="F30" s="25">
        <v>2</v>
      </c>
      <c r="G30" s="25">
        <v>0</v>
      </c>
      <c r="H30" s="21" t="s">
        <v>28</v>
      </c>
      <c r="J30" s="1" t="str">
        <f>IF(OR(Resultados!F30="",Resultados!G30=""),"",IF(AND(F30=Resultados!F30,G30=Resultados!G30),2,IF(((F30&gt;G30)=(Resultados!F30&gt;Resultados!G30))*((F30&lt;G30)=(Resultados!F30&lt;Resultados!G30)),1,0)))</f>
        <v/>
      </c>
    </row>
    <row r="31" spans="1:10" ht="16.2" thickBot="1" x14ac:dyDescent="0.35">
      <c r="A31" s="100"/>
      <c r="B31" s="7">
        <v>46193</v>
      </c>
      <c r="C31" s="8">
        <v>0.20833333333333334</v>
      </c>
      <c r="D31" s="9" t="s">
        <v>13</v>
      </c>
      <c r="E31" s="10" t="s">
        <v>29</v>
      </c>
      <c r="F31" s="25">
        <v>2</v>
      </c>
      <c r="G31" s="25">
        <v>0</v>
      </c>
      <c r="H31" s="21" t="s">
        <v>27</v>
      </c>
      <c r="J31" s="1" t="str">
        <f>IF(OR(Resultados!F31="",Resultados!G31=""),"",IF(AND(F31=Resultados!F31,G31=Resultados!G31),2,IF(((F31&gt;G31)=(Resultados!F31&gt;Resultados!G31))*((F31&lt;G31)=(Resultados!F31&lt;Resultados!G31)),1,0)))</f>
        <v/>
      </c>
    </row>
    <row r="32" spans="1:10" ht="16.2" thickBot="1" x14ac:dyDescent="0.35">
      <c r="A32" s="100"/>
      <c r="B32" s="7">
        <v>46199</v>
      </c>
      <c r="C32" s="8">
        <v>0.16666666666666666</v>
      </c>
      <c r="D32" s="9" t="s">
        <v>14</v>
      </c>
      <c r="E32" s="10" t="s">
        <v>29</v>
      </c>
      <c r="F32" s="25">
        <v>1</v>
      </c>
      <c r="G32" s="25">
        <v>2</v>
      </c>
      <c r="H32" s="21" t="s">
        <v>26</v>
      </c>
      <c r="J32" s="1" t="str">
        <f>IF(OR(Resultados!F32="",Resultados!G32=""),"",IF(AND(F32=Resultados!F32,G32=Resultados!G32),2,IF(((F32&gt;G32)=(Resultados!F32&gt;Resultados!G32))*((F32&lt;G32)=(Resultados!F32&lt;Resultados!G32)),1,0)))</f>
        <v/>
      </c>
    </row>
    <row r="33" spans="1:10" ht="16.2" thickBot="1" x14ac:dyDescent="0.35">
      <c r="A33" s="101"/>
      <c r="B33" s="12">
        <v>46199</v>
      </c>
      <c r="C33" s="13">
        <v>0.16666666666666666</v>
      </c>
      <c r="D33" s="14" t="s">
        <v>14</v>
      </c>
      <c r="E33" s="15" t="s">
        <v>27</v>
      </c>
      <c r="F33" s="25">
        <v>1</v>
      </c>
      <c r="G33" s="25">
        <v>1</v>
      </c>
      <c r="H33" s="21" t="s">
        <v>28</v>
      </c>
      <c r="J33" s="1" t="str">
        <f>IF(OR(Resultados!F33="",Resultados!G33=""),"",IF(AND(F33=Resultados!F33,G33=Resultados!G33),2,IF(((F33&gt;G33)=(Resultados!F33&gt;Resultados!G33))*((F33&lt;G33)=(Resultados!F33&lt;Resultados!G33)),1,0)))</f>
        <v/>
      </c>
    </row>
    <row r="34" spans="1:10" ht="16.2" thickBot="1" x14ac:dyDescent="0.35">
      <c r="A34" s="17"/>
      <c r="B34" s="18"/>
      <c r="C34" s="18"/>
      <c r="D34" s="18"/>
      <c r="E34" s="18"/>
      <c r="F34" s="18"/>
      <c r="G34" s="18"/>
      <c r="H34" s="22"/>
    </row>
    <row r="35" spans="1:10" ht="16.2" thickBot="1" x14ac:dyDescent="0.35">
      <c r="A35" s="16"/>
      <c r="B35" s="4" t="s">
        <v>1</v>
      </c>
      <c r="C35" s="4" t="s">
        <v>2</v>
      </c>
      <c r="D35" s="4" t="s">
        <v>3</v>
      </c>
      <c r="E35" s="5" t="s">
        <v>4</v>
      </c>
      <c r="F35" s="6" t="s">
        <v>5</v>
      </c>
      <c r="G35" s="6" t="s">
        <v>5</v>
      </c>
      <c r="H35" s="23" t="s">
        <v>6</v>
      </c>
    </row>
    <row r="36" spans="1:10" ht="16.2" thickBot="1" x14ac:dyDescent="0.35">
      <c r="A36" s="102" t="s">
        <v>30</v>
      </c>
      <c r="B36" s="7">
        <v>46187</v>
      </c>
      <c r="C36" s="8">
        <v>0.79166666666666663</v>
      </c>
      <c r="D36" s="9" t="s">
        <v>8</v>
      </c>
      <c r="E36" s="10" t="s">
        <v>31</v>
      </c>
      <c r="F36" s="26">
        <v>4</v>
      </c>
      <c r="G36" s="26">
        <v>0</v>
      </c>
      <c r="H36" s="21" t="s">
        <v>32</v>
      </c>
      <c r="J36" s="1">
        <f>IF(OR(Resultados!F36="",Resultados!G36=""),"",IF(AND(F36=Resultados!F36,G36=Resultados!G36),2,IF(((F36&gt;G36)=(Resultados!F36&gt;Resultados!G36))*((F36&lt;G36)=(Resultados!F36&lt;Resultados!G36)),1,0)))</f>
        <v>1</v>
      </c>
    </row>
    <row r="37" spans="1:10" ht="16.2" thickBot="1" x14ac:dyDescent="0.35">
      <c r="A37" s="103"/>
      <c r="B37" s="7">
        <v>46188</v>
      </c>
      <c r="C37" s="8">
        <v>4.1666666666666664E-2</v>
      </c>
      <c r="D37" s="9" t="s">
        <v>8</v>
      </c>
      <c r="E37" s="10" t="s">
        <v>33</v>
      </c>
      <c r="F37" s="26">
        <v>0</v>
      </c>
      <c r="G37" s="26">
        <v>2</v>
      </c>
      <c r="H37" s="21" t="s">
        <v>34</v>
      </c>
      <c r="J37" s="1">
        <f>IF(OR(Resultados!F37="",Resultados!G37=""),"",IF(AND(F37=Resultados!F37,G37=Resultados!G37),2,IF(((F37&gt;G37)=(Resultados!F37&gt;Resultados!G37))*((F37&lt;G37)=(Resultados!F37&lt;Resultados!G37)),1,0)))</f>
        <v>0</v>
      </c>
    </row>
    <row r="38" spans="1:10" ht="16.2" thickBot="1" x14ac:dyDescent="0.35">
      <c r="A38" s="103"/>
      <c r="B38" s="7">
        <v>46193</v>
      </c>
      <c r="C38" s="8">
        <v>0.91666666666666663</v>
      </c>
      <c r="D38" s="9" t="s">
        <v>13</v>
      </c>
      <c r="E38" s="10" t="s">
        <v>31</v>
      </c>
      <c r="F38" s="25">
        <v>3</v>
      </c>
      <c r="G38" s="25">
        <v>1</v>
      </c>
      <c r="H38" s="21" t="s">
        <v>33</v>
      </c>
      <c r="J38" s="1" t="str">
        <f>IF(OR(Resultados!F38="",Resultados!G38=""),"",IF(AND(F38=Resultados!F38,G38=Resultados!G38),2,IF(((F38&gt;G38)=(Resultados!F38&gt;Resultados!G38))*((F38&lt;G38)=(Resultados!F38&lt;Resultados!G38)),1,0)))</f>
        <v/>
      </c>
    </row>
    <row r="39" spans="1:10" ht="16.2" thickBot="1" x14ac:dyDescent="0.35">
      <c r="A39" s="103"/>
      <c r="B39" s="7">
        <v>46194</v>
      </c>
      <c r="C39" s="8">
        <v>8.3333333333333329E-2</v>
      </c>
      <c r="D39" s="9" t="s">
        <v>13</v>
      </c>
      <c r="E39" s="10" t="s">
        <v>34</v>
      </c>
      <c r="F39" s="25">
        <v>2</v>
      </c>
      <c r="G39" s="25">
        <v>0</v>
      </c>
      <c r="H39" s="21" t="s">
        <v>32</v>
      </c>
      <c r="J39" s="1" t="str">
        <f>IF(OR(Resultados!F39="",Resultados!G39=""),"",IF(AND(F39=Resultados!F39,G39=Resultados!G39),2,IF(((F39&gt;G39)=(Resultados!F39&gt;Resultados!G39))*((F39&lt;G39)=(Resultados!F39&lt;Resultados!G39)),1,0)))</f>
        <v/>
      </c>
    </row>
    <row r="40" spans="1:10" ht="16.2" thickBot="1" x14ac:dyDescent="0.35">
      <c r="A40" s="103"/>
      <c r="B40" s="7">
        <v>46198</v>
      </c>
      <c r="C40" s="8">
        <v>0.91666666666666663</v>
      </c>
      <c r="D40" s="9" t="s">
        <v>14</v>
      </c>
      <c r="E40" s="10" t="s">
        <v>32</v>
      </c>
      <c r="F40" s="25">
        <v>0</v>
      </c>
      <c r="G40" s="25">
        <v>3</v>
      </c>
      <c r="H40" s="21" t="s">
        <v>33</v>
      </c>
      <c r="J40" s="1" t="str">
        <f>IF(OR(Resultados!F40="",Resultados!G40=""),"",IF(AND(F40=Resultados!F40,G40=Resultados!G40),2,IF(((F40&gt;G40)=(Resultados!F40&gt;Resultados!G40))*((F40&lt;G40)=(Resultados!F40&lt;Resultados!G40)),1,0)))</f>
        <v/>
      </c>
    </row>
    <row r="41" spans="1:10" ht="16.2" thickBot="1" x14ac:dyDescent="0.35">
      <c r="A41" s="104"/>
      <c r="B41" s="12">
        <v>46198</v>
      </c>
      <c r="C41" s="13">
        <v>0.91666666666666663</v>
      </c>
      <c r="D41" s="14" t="s">
        <v>14</v>
      </c>
      <c r="E41" s="15" t="s">
        <v>34</v>
      </c>
      <c r="F41" s="25">
        <v>1</v>
      </c>
      <c r="G41" s="25">
        <v>1</v>
      </c>
      <c r="H41" s="21" t="s">
        <v>31</v>
      </c>
      <c r="J41" s="1" t="str">
        <f>IF(OR(Resultados!F41="",Resultados!G41=""),"",IF(AND(F41=Resultados!F41,G41=Resultados!G41),2,IF(((F41&gt;G41)=(Resultados!F41&gt;Resultados!G41))*((F41&lt;G41)=(Resultados!F41&lt;Resultados!G41)),1,0)))</f>
        <v/>
      </c>
    </row>
    <row r="42" spans="1:10" ht="16.2" thickBot="1" x14ac:dyDescent="0.35">
      <c r="A42" s="17"/>
      <c r="B42" s="18"/>
      <c r="C42" s="18"/>
      <c r="D42" s="18"/>
      <c r="E42" s="18"/>
      <c r="F42" s="18"/>
      <c r="G42" s="18"/>
      <c r="H42" s="22"/>
    </row>
    <row r="43" spans="1:10" ht="16.2" thickBot="1" x14ac:dyDescent="0.35">
      <c r="A43" s="16"/>
      <c r="B43" s="4" t="s">
        <v>1</v>
      </c>
      <c r="C43" s="4" t="s">
        <v>2</v>
      </c>
      <c r="D43" s="4" t="s">
        <v>3</v>
      </c>
      <c r="E43" s="5" t="s">
        <v>4</v>
      </c>
      <c r="F43" s="6" t="s">
        <v>5</v>
      </c>
      <c r="G43" s="6" t="s">
        <v>5</v>
      </c>
      <c r="H43" s="23" t="s">
        <v>6</v>
      </c>
    </row>
    <row r="44" spans="1:10" ht="16.2" thickBot="1" x14ac:dyDescent="0.35">
      <c r="A44" s="72" t="s">
        <v>35</v>
      </c>
      <c r="B44" s="7">
        <v>46187</v>
      </c>
      <c r="C44" s="8">
        <v>0.91666666666666663</v>
      </c>
      <c r="D44" s="9" t="s">
        <v>8</v>
      </c>
      <c r="E44" s="10" t="s">
        <v>36</v>
      </c>
      <c r="F44" s="26">
        <v>0</v>
      </c>
      <c r="G44" s="26">
        <v>2</v>
      </c>
      <c r="H44" s="21" t="s">
        <v>37</v>
      </c>
      <c r="J44" s="1">
        <f>IF(OR(Resultados!F44="",Resultados!G44=""),"",IF(AND(F44=Resultados!F44,G44=Resultados!G44),2,IF(((F44&gt;G44)=(Resultados!F44&gt;Resultados!G44))*((F44&lt;G44)=(Resultados!F44&lt;Resultados!G44)),1,0)))</f>
        <v>0</v>
      </c>
    </row>
    <row r="45" spans="1:10" ht="16.2" thickBot="1" x14ac:dyDescent="0.35">
      <c r="A45" s="73"/>
      <c r="B45" s="7">
        <v>46188</v>
      </c>
      <c r="C45" s="8">
        <v>0.16666666666666666</v>
      </c>
      <c r="D45" s="9" t="s">
        <v>8</v>
      </c>
      <c r="E45" s="10" t="s">
        <v>38</v>
      </c>
      <c r="F45" s="26">
        <v>2</v>
      </c>
      <c r="G45" s="26">
        <v>0</v>
      </c>
      <c r="H45" s="21" t="s">
        <v>39</v>
      </c>
      <c r="J45" s="1">
        <f>IF(OR(Resultados!F45="",Resultados!G45=""),"",IF(AND(F45=Resultados!F45,G45=Resultados!G45),2,IF(((F45&gt;G45)=(Resultados!F45&gt;Resultados!G45))*((F45&lt;G45)=(Resultados!F45&lt;Resultados!G45)),1,0)))</f>
        <v>1</v>
      </c>
    </row>
    <row r="46" spans="1:10" ht="16.2" thickBot="1" x14ac:dyDescent="0.35">
      <c r="A46" s="73"/>
      <c r="B46" s="7">
        <v>46193</v>
      </c>
      <c r="C46" s="8">
        <v>0.79166666666666663</v>
      </c>
      <c r="D46" s="9" t="s">
        <v>13</v>
      </c>
      <c r="E46" s="10" t="s">
        <v>36</v>
      </c>
      <c r="F46" s="25">
        <v>2</v>
      </c>
      <c r="G46" s="25">
        <v>2</v>
      </c>
      <c r="H46" s="21" t="s">
        <v>38</v>
      </c>
      <c r="J46" s="1" t="str">
        <f>IF(OR(Resultados!F46="",Resultados!G46=""),"",IF(AND(F46=Resultados!F46,G46=Resultados!G46),2,IF(((F46&gt;G46)=(Resultados!F46&gt;Resultados!G46))*((F46&lt;G46)=(Resultados!F46&lt;Resultados!G46)),1,0)))</f>
        <v/>
      </c>
    </row>
    <row r="47" spans="1:10" ht="16.2" thickBot="1" x14ac:dyDescent="0.35">
      <c r="A47" s="73"/>
      <c r="B47" s="7">
        <v>46194</v>
      </c>
      <c r="C47" s="8">
        <v>0.25</v>
      </c>
      <c r="D47" s="9" t="s">
        <v>13</v>
      </c>
      <c r="E47" s="10" t="s">
        <v>39</v>
      </c>
      <c r="F47" s="25">
        <v>0</v>
      </c>
      <c r="G47" s="25">
        <v>2</v>
      </c>
      <c r="H47" s="21" t="s">
        <v>37</v>
      </c>
      <c r="J47" s="1" t="str">
        <f>IF(OR(Resultados!F47="",Resultados!G47=""),"",IF(AND(F47=Resultados!F47,G47=Resultados!G47),2,IF(((F47&gt;G47)=(Resultados!F47&gt;Resultados!G47))*((F47&lt;G47)=(Resultados!F47&lt;Resultados!G47)),1,0)))</f>
        <v/>
      </c>
    </row>
    <row r="48" spans="1:10" ht="16.2" thickBot="1" x14ac:dyDescent="0.35">
      <c r="A48" s="73"/>
      <c r="B48" s="7">
        <v>46199</v>
      </c>
      <c r="C48" s="8">
        <v>4.1666666666666664E-2</v>
      </c>
      <c r="D48" s="9" t="s">
        <v>14</v>
      </c>
      <c r="E48" s="10" t="s">
        <v>37</v>
      </c>
      <c r="F48" s="25">
        <v>2</v>
      </c>
      <c r="G48" s="25">
        <v>0</v>
      </c>
      <c r="H48" s="21" t="s">
        <v>38</v>
      </c>
      <c r="J48" s="1" t="str">
        <f>IF(OR(Resultados!F48="",Resultados!G48=""),"",IF(AND(F48=Resultados!F48,G48=Resultados!G48),2,IF(((F48&gt;G48)=(Resultados!F48&gt;Resultados!G48))*((F48&lt;G48)=(Resultados!F48&lt;Resultados!G48)),1,0)))</f>
        <v/>
      </c>
    </row>
    <row r="49" spans="1:10" ht="16.2" thickBot="1" x14ac:dyDescent="0.35">
      <c r="A49" s="74"/>
      <c r="B49" s="12">
        <v>46199</v>
      </c>
      <c r="C49" s="13">
        <v>4.1666666666666664E-2</v>
      </c>
      <c r="D49" s="14" t="s">
        <v>14</v>
      </c>
      <c r="E49" s="15" t="s">
        <v>39</v>
      </c>
      <c r="F49" s="25">
        <v>2</v>
      </c>
      <c r="G49" s="25">
        <v>2</v>
      </c>
      <c r="H49" s="21" t="s">
        <v>36</v>
      </c>
      <c r="J49" s="1" t="str">
        <f>IF(OR(Resultados!F49="",Resultados!G49=""),"",IF(AND(F49=Resultados!F49,G49=Resultados!G49),2,IF(((F49&gt;G49)=(Resultados!F49&gt;Resultados!G49))*((F49&lt;G49)=(Resultados!F49&lt;Resultados!G49)),1,0)))</f>
        <v/>
      </c>
    </row>
    <row r="50" spans="1:10" ht="16.2" thickBot="1" x14ac:dyDescent="0.35">
      <c r="A50" s="17"/>
      <c r="B50" s="18"/>
      <c r="C50" s="18"/>
      <c r="D50" s="18"/>
      <c r="E50" s="18"/>
      <c r="F50" s="18"/>
      <c r="G50" s="18"/>
      <c r="H50" s="22"/>
    </row>
    <row r="51" spans="1:10" ht="16.2" thickBot="1" x14ac:dyDescent="0.35">
      <c r="A51" s="16"/>
      <c r="B51" s="4" t="s">
        <v>1</v>
      </c>
      <c r="C51" s="4" t="s">
        <v>2</v>
      </c>
      <c r="D51" s="4" t="s">
        <v>3</v>
      </c>
      <c r="E51" s="5" t="s">
        <v>4</v>
      </c>
      <c r="F51" s="6" t="s">
        <v>5</v>
      </c>
      <c r="G51" s="6" t="s">
        <v>5</v>
      </c>
      <c r="H51" s="23" t="s">
        <v>6</v>
      </c>
    </row>
    <row r="52" spans="1:10" ht="16.2" thickBot="1" x14ac:dyDescent="0.35">
      <c r="A52" s="75" t="s">
        <v>40</v>
      </c>
      <c r="B52" s="7">
        <v>46188</v>
      </c>
      <c r="C52" s="8">
        <v>0.875</v>
      </c>
      <c r="D52" s="9" t="s">
        <v>8</v>
      </c>
      <c r="E52" s="10" t="s">
        <v>41</v>
      </c>
      <c r="F52" s="26">
        <v>3</v>
      </c>
      <c r="G52" s="26">
        <v>0</v>
      </c>
      <c r="H52" s="21" t="s">
        <v>42</v>
      </c>
      <c r="J52" s="1" t="str">
        <f>IF(OR(Resultados!F52="",Resultados!G52=""),"",IF(AND(F52=Resultados!F52,G52=Resultados!G52),2,IF(((F52&gt;G52)=(Resultados!F52&gt;Resultados!G52))*((F52&lt;G52)=(Resultados!F52&lt;Resultados!G52)),1,0)))</f>
        <v/>
      </c>
    </row>
    <row r="53" spans="1:10" ht="16.2" thickBot="1" x14ac:dyDescent="0.35">
      <c r="A53" s="76"/>
      <c r="B53" s="7">
        <v>46189</v>
      </c>
      <c r="C53" s="8">
        <v>0.125</v>
      </c>
      <c r="D53" s="9" t="s">
        <v>8</v>
      </c>
      <c r="E53" s="10" t="s">
        <v>43</v>
      </c>
      <c r="F53" s="26">
        <v>2</v>
      </c>
      <c r="G53" s="26">
        <v>2</v>
      </c>
      <c r="H53" s="21" t="s">
        <v>44</v>
      </c>
      <c r="J53" s="1" t="str">
        <f>IF(OR(Resultados!F53="",Resultados!G53=""),"",IF(AND(F53=Resultados!F53,G53=Resultados!G53),2,IF(((F53&gt;G53)=(Resultados!F53&gt;Resultados!G53))*((F53&lt;G53)=(Resultados!F53&lt;Resultados!G53)),1,0)))</f>
        <v/>
      </c>
    </row>
    <row r="54" spans="1:10" ht="16.2" thickBot="1" x14ac:dyDescent="0.35">
      <c r="A54" s="76"/>
      <c r="B54" s="7">
        <v>46194</v>
      </c>
      <c r="C54" s="8">
        <v>0.875</v>
      </c>
      <c r="D54" s="9" t="s">
        <v>13</v>
      </c>
      <c r="E54" s="10" t="s">
        <v>41</v>
      </c>
      <c r="F54" s="25">
        <v>3</v>
      </c>
      <c r="G54" s="25">
        <v>0</v>
      </c>
      <c r="H54" s="21" t="s">
        <v>43</v>
      </c>
      <c r="J54" s="1" t="str">
        <f>IF(OR(Resultados!F54="",Resultados!G54=""),"",IF(AND(F54=Resultados!F54,G54=Resultados!G54),2,IF(((F54&gt;G54)=(Resultados!F54&gt;Resultados!G54))*((F54&lt;G54)=(Resultados!F54&lt;Resultados!G54)),1,0)))</f>
        <v/>
      </c>
    </row>
    <row r="55" spans="1:10" ht="16.2" thickBot="1" x14ac:dyDescent="0.35">
      <c r="A55" s="76"/>
      <c r="B55" s="7">
        <v>46195</v>
      </c>
      <c r="C55" s="8">
        <v>0.125</v>
      </c>
      <c r="D55" s="9" t="s">
        <v>13</v>
      </c>
      <c r="E55" s="10" t="s">
        <v>44</v>
      </c>
      <c r="F55" s="25">
        <v>0</v>
      </c>
      <c r="G55" s="25">
        <v>2</v>
      </c>
      <c r="H55" s="21" t="s">
        <v>42</v>
      </c>
      <c r="J55" s="1" t="str">
        <f>IF(OR(Resultados!F55="",Resultados!G55=""),"",IF(AND(F55=Resultados!F55,G55=Resultados!G55),2,IF(((F55&gt;G55)=(Resultados!F55&gt;Resultados!G55))*((F55&lt;G55)=(Resultados!F55&lt;Resultados!G55)),1,0)))</f>
        <v/>
      </c>
    </row>
    <row r="56" spans="1:10" ht="16.2" thickBot="1" x14ac:dyDescent="0.35">
      <c r="A56" s="76"/>
      <c r="B56" s="7">
        <v>46200</v>
      </c>
      <c r="C56" s="8">
        <v>0.20833333333333334</v>
      </c>
      <c r="D56" s="9" t="s">
        <v>14</v>
      </c>
      <c r="E56" s="10" t="s">
        <v>42</v>
      </c>
      <c r="F56" s="25">
        <v>2</v>
      </c>
      <c r="G56" s="25">
        <v>2</v>
      </c>
      <c r="H56" s="21" t="s">
        <v>43</v>
      </c>
      <c r="J56" s="1" t="str">
        <f>IF(OR(Resultados!F56="",Resultados!G56=""),"",IF(AND(F56=Resultados!F56,G56=Resultados!G56),2,IF(((F56&gt;G56)=(Resultados!F56&gt;Resultados!G56))*((F56&lt;G56)=(Resultados!F56&lt;Resultados!G56)),1,0)))</f>
        <v/>
      </c>
    </row>
    <row r="57" spans="1:10" ht="16.2" thickBot="1" x14ac:dyDescent="0.35">
      <c r="A57" s="77"/>
      <c r="B57" s="12">
        <v>46200</v>
      </c>
      <c r="C57" s="13">
        <v>0.20833333333333334</v>
      </c>
      <c r="D57" s="14" t="s">
        <v>14</v>
      </c>
      <c r="E57" s="15" t="s">
        <v>44</v>
      </c>
      <c r="F57" s="25">
        <v>0</v>
      </c>
      <c r="G57" s="25">
        <v>3</v>
      </c>
      <c r="H57" s="21" t="s">
        <v>41</v>
      </c>
      <c r="J57" s="1" t="str">
        <f>IF(OR(Resultados!F57="",Resultados!G57=""),"",IF(AND(F57=Resultados!F57,G57=Resultados!G57),2,IF(((F57&gt;G57)=(Resultados!F57&gt;Resultados!G57))*((F57&lt;G57)=(Resultados!F57&lt;Resultados!G57)),1,0)))</f>
        <v/>
      </c>
    </row>
    <row r="58" spans="1:10" ht="16.2" thickBot="1" x14ac:dyDescent="0.35">
      <c r="A58" s="17"/>
      <c r="B58" s="18"/>
      <c r="C58" s="18"/>
      <c r="D58" s="18"/>
      <c r="E58" s="18"/>
      <c r="F58" s="18"/>
      <c r="G58" s="18"/>
      <c r="H58" s="22"/>
    </row>
    <row r="59" spans="1:10" ht="16.2" thickBot="1" x14ac:dyDescent="0.35">
      <c r="A59" s="16"/>
      <c r="B59" s="4" t="s">
        <v>1</v>
      </c>
      <c r="C59" s="4" t="s">
        <v>2</v>
      </c>
      <c r="D59" s="4" t="s">
        <v>3</v>
      </c>
      <c r="E59" s="5" t="s">
        <v>4</v>
      </c>
      <c r="F59" s="6" t="s">
        <v>5</v>
      </c>
      <c r="G59" s="6" t="s">
        <v>5</v>
      </c>
      <c r="H59" s="23" t="s">
        <v>6</v>
      </c>
    </row>
    <row r="60" spans="1:10" ht="16.2" thickBot="1" x14ac:dyDescent="0.35">
      <c r="A60" s="78" t="s">
        <v>45</v>
      </c>
      <c r="B60" s="7">
        <v>46188</v>
      </c>
      <c r="C60" s="8">
        <v>0.75</v>
      </c>
      <c r="D60" s="9" t="s">
        <v>8</v>
      </c>
      <c r="E60" s="10" t="s">
        <v>46</v>
      </c>
      <c r="F60" s="26">
        <v>4</v>
      </c>
      <c r="G60" s="26">
        <v>0</v>
      </c>
      <c r="H60" s="21" t="s">
        <v>47</v>
      </c>
      <c r="J60" s="1" t="str">
        <f>IF(OR(Resultados!F60="",Resultados!G60=""),"",IF(AND(F60=Resultados!F60,G60=Resultados!G60),2,IF(((F60&gt;G60)=(Resultados!F60&gt;Resultados!G60))*((F60&lt;G60)=(Resultados!F60&lt;Resultados!G60)),1,0)))</f>
        <v/>
      </c>
    </row>
    <row r="61" spans="1:10" ht="16.2" thickBot="1" x14ac:dyDescent="0.35">
      <c r="A61" s="79"/>
      <c r="B61" s="7">
        <v>46189</v>
      </c>
      <c r="C61" s="8">
        <v>0</v>
      </c>
      <c r="D61" s="9" t="s">
        <v>8</v>
      </c>
      <c r="E61" s="10" t="s">
        <v>48</v>
      </c>
      <c r="F61" s="26">
        <v>0</v>
      </c>
      <c r="G61" s="26">
        <v>2</v>
      </c>
      <c r="H61" s="21" t="s">
        <v>49</v>
      </c>
      <c r="J61" s="1" t="str">
        <f>IF(OR(Resultados!F61="",Resultados!G61=""),"",IF(AND(F61=Resultados!F61,G61=Resultados!G61),2,IF(((F61&gt;G61)=(Resultados!F61&gt;Resultados!G61))*((F61&lt;G61)=(Resultados!F61&lt;Resultados!G61)),1,0)))</f>
        <v/>
      </c>
    </row>
    <row r="62" spans="1:10" ht="16.2" thickBot="1" x14ac:dyDescent="0.35">
      <c r="A62" s="79"/>
      <c r="B62" s="7">
        <v>46194</v>
      </c>
      <c r="C62" s="8">
        <v>0.75</v>
      </c>
      <c r="D62" s="9" t="s">
        <v>13</v>
      </c>
      <c r="E62" s="10" t="s">
        <v>46</v>
      </c>
      <c r="F62" s="25">
        <v>3</v>
      </c>
      <c r="G62" s="25">
        <v>0</v>
      </c>
      <c r="H62" s="21" t="s">
        <v>48</v>
      </c>
      <c r="J62" s="1" t="str">
        <f>IF(OR(Resultados!F62="",Resultados!G62=""),"",IF(AND(F62=Resultados!F62,G62=Resultados!G62),2,IF(((F62&gt;G62)=(Resultados!F62&gt;Resultados!G62))*((F62&lt;G62)=(Resultados!F62&lt;Resultados!G62)),1,0)))</f>
        <v/>
      </c>
    </row>
    <row r="63" spans="1:10" ht="16.2" thickBot="1" x14ac:dyDescent="0.35">
      <c r="A63" s="79"/>
      <c r="B63" s="7">
        <v>46195</v>
      </c>
      <c r="C63" s="8">
        <v>0</v>
      </c>
      <c r="D63" s="9" t="s">
        <v>13</v>
      </c>
      <c r="E63" s="10" t="s">
        <v>49</v>
      </c>
      <c r="F63" s="25">
        <v>2</v>
      </c>
      <c r="G63" s="25">
        <v>0</v>
      </c>
      <c r="H63" s="21" t="s">
        <v>47</v>
      </c>
      <c r="J63" s="1" t="str">
        <f>IF(OR(Resultados!F63="",Resultados!G63=""),"",IF(AND(F63=Resultados!F63,G63=Resultados!G63),2,IF(((F63&gt;G63)=(Resultados!F63&gt;Resultados!G63))*((F63&lt;G63)=(Resultados!F63&lt;Resultados!G63)),1,0)))</f>
        <v/>
      </c>
    </row>
    <row r="64" spans="1:10" ht="16.2" thickBot="1" x14ac:dyDescent="0.35">
      <c r="A64" s="79"/>
      <c r="B64" s="7">
        <v>46200</v>
      </c>
      <c r="C64" s="8">
        <v>8.3333333333333329E-2</v>
      </c>
      <c r="D64" s="9" t="s">
        <v>14</v>
      </c>
      <c r="E64" s="10" t="s">
        <v>47</v>
      </c>
      <c r="F64" s="25">
        <v>2</v>
      </c>
      <c r="G64" s="25">
        <v>2</v>
      </c>
      <c r="H64" s="21" t="s">
        <v>48</v>
      </c>
      <c r="J64" s="1" t="str">
        <f>IF(OR(Resultados!F64="",Resultados!G64=""),"",IF(AND(F64=Resultados!F64,G64=Resultados!G64),2,IF(((F64&gt;G64)=(Resultados!F64&gt;Resultados!G64))*((F64&lt;G64)=(Resultados!F64&lt;Resultados!G64)),1,0)))</f>
        <v/>
      </c>
    </row>
    <row r="65" spans="1:10" ht="16.2" thickBot="1" x14ac:dyDescent="0.35">
      <c r="A65" s="80"/>
      <c r="B65" s="12">
        <v>46200</v>
      </c>
      <c r="C65" s="13">
        <v>8.3333333333333329E-2</v>
      </c>
      <c r="D65" s="14" t="s">
        <v>14</v>
      </c>
      <c r="E65" s="15" t="s">
        <v>49</v>
      </c>
      <c r="F65" s="25">
        <v>1</v>
      </c>
      <c r="G65" s="25">
        <v>2</v>
      </c>
      <c r="H65" s="21" t="s">
        <v>46</v>
      </c>
      <c r="J65" s="1" t="str">
        <f>IF(OR(Resultados!F65="",Resultados!G65=""),"",IF(AND(F65=Resultados!F65,G65=Resultados!G65),2,IF(((F65&gt;G65)=(Resultados!F65&gt;Resultados!G65))*((F65&lt;G65)=(Resultados!F65&lt;Resultados!G65)),1,0)))</f>
        <v/>
      </c>
    </row>
    <row r="66" spans="1:10" ht="16.2" thickBot="1" x14ac:dyDescent="0.35">
      <c r="A66" s="17"/>
      <c r="B66" s="18"/>
      <c r="C66" s="18"/>
      <c r="D66" s="18"/>
      <c r="E66" s="18"/>
      <c r="F66" s="18"/>
      <c r="G66" s="18"/>
      <c r="H66" s="22"/>
    </row>
    <row r="67" spans="1:10" ht="16.2" thickBot="1" x14ac:dyDescent="0.35">
      <c r="A67" s="16"/>
      <c r="B67" s="4" t="s">
        <v>1</v>
      </c>
      <c r="C67" s="4" t="s">
        <v>2</v>
      </c>
      <c r="D67" s="4" t="s">
        <v>3</v>
      </c>
      <c r="E67" s="5" t="s">
        <v>4</v>
      </c>
      <c r="F67" s="6" t="s">
        <v>5</v>
      </c>
      <c r="G67" s="6" t="s">
        <v>5</v>
      </c>
      <c r="H67" s="23" t="s">
        <v>6</v>
      </c>
    </row>
    <row r="68" spans="1:10" ht="16.2" thickBot="1" x14ac:dyDescent="0.35">
      <c r="A68" s="81" t="s">
        <v>50</v>
      </c>
      <c r="B68" s="7">
        <v>46189</v>
      </c>
      <c r="C68" s="8">
        <v>0.875</v>
      </c>
      <c r="D68" s="9" t="s">
        <v>8</v>
      </c>
      <c r="E68" s="10" t="s">
        <v>51</v>
      </c>
      <c r="F68" s="26">
        <v>2</v>
      </c>
      <c r="G68" s="26">
        <v>1</v>
      </c>
      <c r="H68" s="21" t="s">
        <v>52</v>
      </c>
      <c r="J68" s="1" t="str">
        <f>IF(OR(Resultados!F68="",Resultados!G68=""),"",IF(AND(F68=Resultados!F68,G68=Resultados!G68),2,IF(((F68&gt;G68)=(Resultados!F68&gt;Resultados!G68))*((F68&lt;G68)=(Resultados!F68&lt;Resultados!G68)),1,0)))</f>
        <v/>
      </c>
    </row>
    <row r="69" spans="1:10" ht="16.2" thickBot="1" x14ac:dyDescent="0.35">
      <c r="A69" s="82"/>
      <c r="B69" s="7">
        <v>46190</v>
      </c>
      <c r="C69" s="8">
        <v>0</v>
      </c>
      <c r="D69" s="9" t="s">
        <v>8</v>
      </c>
      <c r="E69" s="10" t="s">
        <v>53</v>
      </c>
      <c r="F69" s="26">
        <v>0</v>
      </c>
      <c r="G69" s="26">
        <v>2</v>
      </c>
      <c r="H69" s="21" t="s">
        <v>54</v>
      </c>
      <c r="J69" s="1" t="str">
        <f>IF(OR(Resultados!F69="",Resultados!G69=""),"",IF(AND(F69=Resultados!F69,G69=Resultados!G69),2,IF(((F69&gt;G69)=(Resultados!F69&gt;Resultados!G69))*((F69&lt;G69)=(Resultados!F69&lt;Resultados!G69)),1,0)))</f>
        <v/>
      </c>
    </row>
    <row r="70" spans="1:10" ht="16.2" thickBot="1" x14ac:dyDescent="0.35">
      <c r="A70" s="82"/>
      <c r="B70" s="7">
        <v>46195</v>
      </c>
      <c r="C70" s="8">
        <v>0.95833333333333337</v>
      </c>
      <c r="D70" s="9" t="s">
        <v>13</v>
      </c>
      <c r="E70" s="10" t="s">
        <v>51</v>
      </c>
      <c r="F70" s="25">
        <v>3</v>
      </c>
      <c r="G70" s="25">
        <v>0</v>
      </c>
      <c r="H70" s="21" t="s">
        <v>53</v>
      </c>
      <c r="J70" s="1" t="str">
        <f>IF(OR(Resultados!F70="",Resultados!G70=""),"",IF(AND(F70=Resultados!F70,G70=Resultados!G70),2,IF(((F70&gt;G70)=(Resultados!F70&gt;Resultados!G70))*((F70&lt;G70)=(Resultados!F70&lt;Resultados!G70)),1,0)))</f>
        <v/>
      </c>
    </row>
    <row r="71" spans="1:10" ht="16.2" thickBot="1" x14ac:dyDescent="0.35">
      <c r="A71" s="82"/>
      <c r="B71" s="7">
        <v>46196</v>
      </c>
      <c r="C71" s="8">
        <v>8.3333333333333329E-2</v>
      </c>
      <c r="D71" s="9" t="s">
        <v>13</v>
      </c>
      <c r="E71" s="10" t="s">
        <v>54</v>
      </c>
      <c r="F71" s="25">
        <v>2</v>
      </c>
      <c r="G71" s="25">
        <v>0</v>
      </c>
      <c r="H71" s="21" t="s">
        <v>52</v>
      </c>
      <c r="J71" s="1" t="str">
        <f>IF(OR(Resultados!F71="",Resultados!G71=""),"",IF(AND(F71=Resultados!F71,G71=Resultados!G71),2,IF(((F71&gt;G71)=(Resultados!F71&gt;Resultados!G71))*((F71&lt;G71)=(Resultados!F71&lt;Resultados!G71)),1,0)))</f>
        <v/>
      </c>
    </row>
    <row r="72" spans="1:10" ht="16.2" thickBot="1" x14ac:dyDescent="0.35">
      <c r="A72" s="82"/>
      <c r="B72" s="7">
        <v>46199</v>
      </c>
      <c r="C72" s="8">
        <v>0.875</v>
      </c>
      <c r="D72" s="9" t="s">
        <v>14</v>
      </c>
      <c r="E72" s="10" t="s">
        <v>54</v>
      </c>
      <c r="F72" s="25">
        <v>0</v>
      </c>
      <c r="G72" s="25">
        <v>3</v>
      </c>
      <c r="H72" s="21" t="s">
        <v>51</v>
      </c>
      <c r="J72" s="1" t="str">
        <f>IF(OR(Resultados!F72="",Resultados!G72=""),"",IF(AND(F72=Resultados!F72,G72=Resultados!G72),2,IF(((F72&gt;G72)=(Resultados!F72&gt;Resultados!G72))*((F72&lt;G72)=(Resultados!F72&lt;Resultados!G72)),1,0)))</f>
        <v/>
      </c>
    </row>
    <row r="73" spans="1:10" ht="16.2" thickBot="1" x14ac:dyDescent="0.35">
      <c r="A73" s="83"/>
      <c r="B73" s="12">
        <v>46199</v>
      </c>
      <c r="C73" s="13">
        <v>0.875</v>
      </c>
      <c r="D73" s="14" t="s">
        <v>14</v>
      </c>
      <c r="E73" s="15" t="s">
        <v>52</v>
      </c>
      <c r="F73" s="25">
        <v>2</v>
      </c>
      <c r="G73" s="25">
        <v>0</v>
      </c>
      <c r="H73" s="21" t="s">
        <v>53</v>
      </c>
      <c r="J73" s="1" t="str">
        <f>IF(OR(Resultados!F73="",Resultados!G73=""),"",IF(AND(F73=Resultados!F73,G73=Resultados!G73),2,IF(((F73&gt;G73)=(Resultados!F73&gt;Resultados!G73))*((F73&lt;G73)=(Resultados!F73&lt;Resultados!G73)),1,0)))</f>
        <v/>
      </c>
    </row>
    <row r="74" spans="1:10" ht="16.2" thickBot="1" x14ac:dyDescent="0.35">
      <c r="A74" s="17"/>
      <c r="B74" s="18"/>
      <c r="C74" s="18"/>
      <c r="D74" s="18"/>
      <c r="E74" s="18"/>
      <c r="F74" s="18"/>
      <c r="G74" s="18"/>
      <c r="H74" s="22"/>
    </row>
    <row r="75" spans="1:10" ht="16.2" thickBot="1" x14ac:dyDescent="0.35">
      <c r="A75" s="16"/>
      <c r="B75" s="4" t="s">
        <v>1</v>
      </c>
      <c r="C75" s="4" t="s">
        <v>2</v>
      </c>
      <c r="D75" s="4" t="s">
        <v>3</v>
      </c>
      <c r="E75" s="5" t="s">
        <v>4</v>
      </c>
      <c r="F75" s="6" t="s">
        <v>5</v>
      </c>
      <c r="G75" s="6" t="s">
        <v>5</v>
      </c>
      <c r="H75" s="23" t="s">
        <v>6</v>
      </c>
    </row>
    <row r="76" spans="1:10" ht="16.2" thickBot="1" x14ac:dyDescent="0.35">
      <c r="A76" s="84" t="s">
        <v>55</v>
      </c>
      <c r="B76" s="7">
        <v>46190</v>
      </c>
      <c r="C76" s="8">
        <v>0.125</v>
      </c>
      <c r="D76" s="9" t="s">
        <v>8</v>
      </c>
      <c r="E76" s="10" t="s">
        <v>56</v>
      </c>
      <c r="F76" s="26">
        <v>3</v>
      </c>
      <c r="G76" s="26">
        <v>0</v>
      </c>
      <c r="H76" s="21" t="s">
        <v>57</v>
      </c>
      <c r="J76" s="1" t="str">
        <f>IF(OR(Resultados!F76="",Resultados!G76=""),"",IF(AND(F76=Resultados!F76,G76=Resultados!G76),2,IF(((F76&gt;G76)=(Resultados!F76&gt;Resultados!G76))*((F76&lt;G76)=(Resultados!F76&lt;Resultados!G76)),1,0)))</f>
        <v/>
      </c>
    </row>
    <row r="77" spans="1:10" ht="16.2" thickBot="1" x14ac:dyDescent="0.35">
      <c r="A77" s="85"/>
      <c r="B77" s="7">
        <v>46190</v>
      </c>
      <c r="C77" s="8">
        <v>0.25</v>
      </c>
      <c r="D77" s="9" t="s">
        <v>8</v>
      </c>
      <c r="E77" s="10" t="s">
        <v>58</v>
      </c>
      <c r="F77" s="26">
        <v>1</v>
      </c>
      <c r="G77" s="26">
        <v>0</v>
      </c>
      <c r="H77" s="21" t="s">
        <v>59</v>
      </c>
      <c r="J77" s="1" t="str">
        <f>IF(OR(Resultados!F77="",Resultados!G77=""),"",IF(AND(F77=Resultados!F77,G77=Resultados!G77),2,IF(((F77&gt;G77)=(Resultados!F77&gt;Resultados!G77))*((F77&lt;G77)=(Resultados!F77&lt;Resultados!G77)),1,0)))</f>
        <v/>
      </c>
    </row>
    <row r="78" spans="1:10" ht="16.2" thickBot="1" x14ac:dyDescent="0.35">
      <c r="A78" s="85"/>
      <c r="B78" s="7">
        <v>46195</v>
      </c>
      <c r="C78" s="8">
        <v>0.79166666666666663</v>
      </c>
      <c r="D78" s="9" t="s">
        <v>13</v>
      </c>
      <c r="E78" s="10" t="s">
        <v>56</v>
      </c>
      <c r="F78" s="25">
        <v>2</v>
      </c>
      <c r="G78" s="25">
        <v>0</v>
      </c>
      <c r="H78" s="21" t="s">
        <v>58</v>
      </c>
      <c r="J78" s="1" t="str">
        <f>IF(OR(Resultados!F78="",Resultados!G78=""),"",IF(AND(F78=Resultados!F78,G78=Resultados!G78),2,IF(((F78&gt;G78)=(Resultados!F78&gt;Resultados!G78))*((F78&lt;G78)=(Resultados!F78&lt;Resultados!G78)),1,0)))</f>
        <v/>
      </c>
    </row>
    <row r="79" spans="1:10" ht="16.2" thickBot="1" x14ac:dyDescent="0.35">
      <c r="A79" s="85"/>
      <c r="B79" s="7">
        <v>46196</v>
      </c>
      <c r="C79" s="8">
        <v>0.20833333333333334</v>
      </c>
      <c r="D79" s="9" t="s">
        <v>13</v>
      </c>
      <c r="E79" s="10" t="s">
        <v>59</v>
      </c>
      <c r="F79" s="25">
        <v>2</v>
      </c>
      <c r="G79" s="25">
        <v>2</v>
      </c>
      <c r="H79" s="21" t="s">
        <v>57</v>
      </c>
      <c r="J79" s="1" t="str">
        <f>IF(OR(Resultados!F79="",Resultados!G79=""),"",IF(AND(F79=Resultados!F79,G79=Resultados!G79),2,IF(((F79&gt;G79)=(Resultados!F79&gt;Resultados!G79))*((F79&lt;G79)=(Resultados!F79&lt;Resultados!G79)),1,0)))</f>
        <v/>
      </c>
    </row>
    <row r="80" spans="1:10" ht="16.2" thickBot="1" x14ac:dyDescent="0.35">
      <c r="A80" s="85"/>
      <c r="B80" s="7">
        <v>46201</v>
      </c>
      <c r="C80" s="8">
        <v>0.16666666666666666</v>
      </c>
      <c r="D80" s="9" t="s">
        <v>14</v>
      </c>
      <c r="E80" s="10" t="s">
        <v>57</v>
      </c>
      <c r="F80" s="25">
        <v>0</v>
      </c>
      <c r="G80" s="25">
        <v>2</v>
      </c>
      <c r="H80" s="21" t="s">
        <v>58</v>
      </c>
      <c r="J80" s="1" t="str">
        <f>IF(OR(Resultados!F80="",Resultados!G80=""),"",IF(AND(F80=Resultados!F80,G80=Resultados!G80),2,IF(((F80&gt;G80)=(Resultados!F80&gt;Resultados!G80))*((F80&lt;G80)=(Resultados!F80&lt;Resultados!G80)),1,0)))</f>
        <v/>
      </c>
    </row>
    <row r="81" spans="1:10" ht="16.2" thickBot="1" x14ac:dyDescent="0.35">
      <c r="A81" s="86"/>
      <c r="B81" s="12">
        <v>46201</v>
      </c>
      <c r="C81" s="13">
        <v>0.16666666666666666</v>
      </c>
      <c r="D81" s="14" t="s">
        <v>14</v>
      </c>
      <c r="E81" s="15" t="s">
        <v>59</v>
      </c>
      <c r="F81" s="25">
        <v>0</v>
      </c>
      <c r="G81" s="25">
        <v>3</v>
      </c>
      <c r="H81" s="21" t="s">
        <v>56</v>
      </c>
      <c r="J81" s="1" t="str">
        <f>IF(OR(Resultados!F81="",Resultados!G81=""),"",IF(AND(F81=Resultados!F81,G81=Resultados!G81),2,IF(((F81&gt;G81)=(Resultados!F81&gt;Resultados!G81))*((F81&lt;G81)=(Resultados!F81&lt;Resultados!G81)),1,0)))</f>
        <v/>
      </c>
    </row>
    <row r="82" spans="1:10" ht="14.4" customHeight="1" thickBot="1" x14ac:dyDescent="0.35">
      <c r="A82" s="19"/>
      <c r="B82" s="19"/>
      <c r="C82" s="19"/>
      <c r="D82" s="19"/>
      <c r="E82" s="19"/>
      <c r="F82" s="19"/>
      <c r="G82" s="19"/>
      <c r="H82" s="24"/>
    </row>
    <row r="83" spans="1:10" ht="16.2" thickBot="1" x14ac:dyDescent="0.35">
      <c r="A83" s="16"/>
      <c r="B83" s="4" t="s">
        <v>1</v>
      </c>
      <c r="C83" s="4" t="s">
        <v>2</v>
      </c>
      <c r="D83" s="4" t="s">
        <v>3</v>
      </c>
      <c r="E83" s="5" t="s">
        <v>4</v>
      </c>
      <c r="F83" s="6" t="s">
        <v>5</v>
      </c>
      <c r="G83" s="6" t="s">
        <v>5</v>
      </c>
      <c r="H83" s="23" t="s">
        <v>6</v>
      </c>
    </row>
    <row r="84" spans="1:10" ht="16.2" thickBot="1" x14ac:dyDescent="0.35">
      <c r="A84" s="87" t="s">
        <v>60</v>
      </c>
      <c r="B84" s="7">
        <v>46190</v>
      </c>
      <c r="C84" s="8">
        <v>0.79166666666666663</v>
      </c>
      <c r="D84" s="9" t="s">
        <v>8</v>
      </c>
      <c r="E84" s="10" t="s">
        <v>61</v>
      </c>
      <c r="F84" s="26">
        <v>3</v>
      </c>
      <c r="G84" s="26">
        <v>0</v>
      </c>
      <c r="H84" s="21" t="s">
        <v>62</v>
      </c>
      <c r="J84" s="1" t="str">
        <f>IF(OR(Resultados!F84="",Resultados!G84=""),"",IF(AND(F84=Resultados!F84,G84=Resultados!G84),2,IF(((F84&gt;G84)=(Resultados!F84&gt;Resultados!G84))*((F84&lt;G84)=(Resultados!F84&lt;Resultados!G84)),1,0)))</f>
        <v/>
      </c>
    </row>
    <row r="85" spans="1:10" ht="16.2" thickBot="1" x14ac:dyDescent="0.35">
      <c r="A85" s="88"/>
      <c r="B85" s="7">
        <v>46191</v>
      </c>
      <c r="C85" s="8">
        <v>0.16666666666666666</v>
      </c>
      <c r="D85" s="9" t="s">
        <v>8</v>
      </c>
      <c r="E85" s="10" t="s">
        <v>63</v>
      </c>
      <c r="F85" s="26">
        <v>1</v>
      </c>
      <c r="G85" s="26">
        <v>2</v>
      </c>
      <c r="H85" s="21" t="s">
        <v>64</v>
      </c>
      <c r="J85" s="1" t="str">
        <f>IF(OR(Resultados!F85="",Resultados!G85=""),"",IF(AND(F85=Resultados!F85,G85=Resultados!G85),2,IF(((F85&gt;G85)=(Resultados!F85&gt;Resultados!G85))*((F85&lt;G85)=(Resultados!F85&lt;Resultados!G85)),1,0)))</f>
        <v/>
      </c>
    </row>
    <row r="86" spans="1:10" ht="16.2" thickBot="1" x14ac:dyDescent="0.35">
      <c r="A86" s="88"/>
      <c r="B86" s="7">
        <v>46196</v>
      </c>
      <c r="C86" s="8">
        <v>0.79166666666666663</v>
      </c>
      <c r="D86" s="9" t="s">
        <v>13</v>
      </c>
      <c r="E86" s="10" t="s">
        <v>61</v>
      </c>
      <c r="F86" s="25">
        <v>2</v>
      </c>
      <c r="G86" s="25">
        <v>0</v>
      </c>
      <c r="H86" s="21" t="s">
        <v>63</v>
      </c>
      <c r="J86" s="1" t="str">
        <f>IF(OR(Resultados!F86="",Resultados!G86=""),"",IF(AND(F86=Resultados!F86,G86=Resultados!G86),2,IF(((F86&gt;G86)=(Resultados!F86&gt;Resultados!G86))*((F86&lt;G86)=(Resultados!F86&lt;Resultados!G86)),1,0)))</f>
        <v/>
      </c>
    </row>
    <row r="87" spans="1:10" ht="16.2" thickBot="1" x14ac:dyDescent="0.35">
      <c r="A87" s="88"/>
      <c r="B87" s="7">
        <v>46197</v>
      </c>
      <c r="C87" s="8">
        <v>0.16666666666666666</v>
      </c>
      <c r="D87" s="9" t="s">
        <v>13</v>
      </c>
      <c r="E87" s="10" t="s">
        <v>64</v>
      </c>
      <c r="F87" s="25">
        <v>2</v>
      </c>
      <c r="G87" s="25">
        <v>0</v>
      </c>
      <c r="H87" s="21" t="s">
        <v>62</v>
      </c>
      <c r="J87" s="1" t="str">
        <f>IF(OR(Resultados!F87="",Resultados!G87=""),"",IF(AND(F87=Resultados!F87,G87=Resultados!G87),2,IF(((F87&gt;G87)=(Resultados!F87&gt;Resultados!G87))*((F87&lt;G87)=(Resultados!F87&lt;Resultados!G87)),1,0)))</f>
        <v/>
      </c>
    </row>
    <row r="88" spans="1:10" ht="16.2" thickBot="1" x14ac:dyDescent="0.35">
      <c r="A88" s="88"/>
      <c r="B88" s="7">
        <v>46201</v>
      </c>
      <c r="C88" s="8">
        <v>6.25E-2</v>
      </c>
      <c r="D88" s="9" t="s">
        <v>14</v>
      </c>
      <c r="E88" s="10" t="s">
        <v>64</v>
      </c>
      <c r="F88" s="25">
        <v>0</v>
      </c>
      <c r="G88" s="25">
        <v>2</v>
      </c>
      <c r="H88" s="21" t="s">
        <v>61</v>
      </c>
      <c r="J88" s="1" t="str">
        <f>IF(OR(Resultados!F88="",Resultados!G88=""),"",IF(AND(F88=Resultados!F88,G88=Resultados!G88),2,IF(((F88&gt;G88)=(Resultados!F88&gt;Resultados!G88))*((F88&lt;G88)=(Resultados!F88&lt;Resultados!G88)),1,0)))</f>
        <v/>
      </c>
    </row>
    <row r="89" spans="1:10" ht="16.2" thickBot="1" x14ac:dyDescent="0.35">
      <c r="A89" s="89"/>
      <c r="B89" s="12">
        <v>46201</v>
      </c>
      <c r="C89" s="13">
        <v>6.25E-2</v>
      </c>
      <c r="D89" s="14" t="s">
        <v>14</v>
      </c>
      <c r="E89" s="15" t="s">
        <v>62</v>
      </c>
      <c r="F89" s="25">
        <v>1</v>
      </c>
      <c r="G89" s="25">
        <v>0</v>
      </c>
      <c r="H89" s="21" t="s">
        <v>63</v>
      </c>
      <c r="J89" s="1" t="str">
        <f>IF(OR(Resultados!F89="",Resultados!G89=""),"",IF(AND(F89=Resultados!F89,G89=Resultados!G89),2,IF(((F89&gt;G89)=(Resultados!F89&gt;Resultados!G89))*((F89&lt;G89)=(Resultados!F89&lt;Resultados!G89)),1,0)))</f>
        <v/>
      </c>
    </row>
    <row r="90" spans="1:10" ht="16.2" thickBot="1" x14ac:dyDescent="0.35">
      <c r="A90" s="17"/>
      <c r="B90" s="18"/>
      <c r="C90" s="18"/>
      <c r="D90" s="18"/>
      <c r="E90" s="18"/>
      <c r="F90" s="18"/>
      <c r="G90" s="18"/>
      <c r="H90" s="22"/>
    </row>
    <row r="91" spans="1:10" ht="16.2" thickBot="1" x14ac:dyDescent="0.35">
      <c r="A91" s="16"/>
      <c r="B91" s="4" t="s">
        <v>1</v>
      </c>
      <c r="C91" s="4" t="s">
        <v>2</v>
      </c>
      <c r="D91" s="4" t="s">
        <v>3</v>
      </c>
      <c r="E91" s="5" t="s">
        <v>4</v>
      </c>
      <c r="F91" s="6" t="s">
        <v>5</v>
      </c>
      <c r="G91" s="6" t="s">
        <v>5</v>
      </c>
      <c r="H91" s="23" t="s">
        <v>6</v>
      </c>
    </row>
    <row r="92" spans="1:10" ht="16.2" thickBot="1" x14ac:dyDescent="0.35">
      <c r="A92" s="69" t="s">
        <v>65</v>
      </c>
      <c r="B92" s="7">
        <v>46190</v>
      </c>
      <c r="C92" s="8">
        <v>0.91666666666666663</v>
      </c>
      <c r="D92" s="9" t="s">
        <v>8</v>
      </c>
      <c r="E92" s="10" t="s">
        <v>66</v>
      </c>
      <c r="F92" s="26">
        <v>2</v>
      </c>
      <c r="G92" s="26">
        <v>0</v>
      </c>
      <c r="H92" s="21" t="s">
        <v>67</v>
      </c>
      <c r="J92" s="1" t="str">
        <f>IF(OR(Resultados!F92="",Resultados!G92=""),"",IF(AND(F92=Resultados!F92,G92=Resultados!G92),2,IF(((F92&gt;G92)=(Resultados!F92&gt;Resultados!G92))*((F92&lt;G92)=(Resultados!F92&lt;Resultados!G92)),1,0)))</f>
        <v/>
      </c>
    </row>
    <row r="93" spans="1:10" ht="16.2" thickBot="1" x14ac:dyDescent="0.35">
      <c r="A93" s="70"/>
      <c r="B93" s="7">
        <v>46191</v>
      </c>
      <c r="C93" s="8">
        <v>4.1666666666666664E-2</v>
      </c>
      <c r="D93" s="9" t="s">
        <v>8</v>
      </c>
      <c r="E93" s="10" t="s">
        <v>68</v>
      </c>
      <c r="F93" s="26">
        <v>1</v>
      </c>
      <c r="G93" s="26">
        <v>0</v>
      </c>
      <c r="H93" s="21" t="s">
        <v>69</v>
      </c>
      <c r="J93" s="1" t="str">
        <f>IF(OR(Resultados!F93="",Resultados!G93=""),"",IF(AND(F93=Resultados!F93,G93=Resultados!G93),2,IF(((F93&gt;G93)=(Resultados!F93&gt;Resultados!G93))*((F93&lt;G93)=(Resultados!F93&lt;Resultados!G93)),1,0)))</f>
        <v/>
      </c>
    </row>
    <row r="94" spans="1:10" ht="16.2" thickBot="1" x14ac:dyDescent="0.35">
      <c r="A94" s="70"/>
      <c r="B94" s="7">
        <v>46196</v>
      </c>
      <c r="C94" s="8">
        <v>0.91666666666666663</v>
      </c>
      <c r="D94" s="9" t="s">
        <v>13</v>
      </c>
      <c r="E94" s="10" t="s">
        <v>66</v>
      </c>
      <c r="F94" s="25">
        <v>1</v>
      </c>
      <c r="G94" s="25">
        <v>1</v>
      </c>
      <c r="H94" s="21" t="s">
        <v>68</v>
      </c>
      <c r="J94" s="1" t="str">
        <f>IF(OR(Resultados!F94="",Resultados!G94=""),"",IF(AND(F94=Resultados!F94,G94=Resultados!G94),2,IF(((F94&gt;G94)=(Resultados!F94&gt;Resultados!G94))*((F94&lt;G94)=(Resultados!F94&lt;Resultados!G94)),1,0)))</f>
        <v/>
      </c>
    </row>
    <row r="95" spans="1:10" ht="16.2" thickBot="1" x14ac:dyDescent="0.35">
      <c r="A95" s="70"/>
      <c r="B95" s="7">
        <v>46197</v>
      </c>
      <c r="C95" s="8">
        <v>4.1666666666666664E-2</v>
      </c>
      <c r="D95" s="9" t="s">
        <v>13</v>
      </c>
      <c r="E95" s="10" t="s">
        <v>69</v>
      </c>
      <c r="F95" s="25">
        <v>0</v>
      </c>
      <c r="G95" s="25">
        <v>1</v>
      </c>
      <c r="H95" s="21" t="s">
        <v>67</v>
      </c>
      <c r="J95" s="1" t="str">
        <f>IF(OR(Resultados!F95="",Resultados!G95=""),"",IF(AND(F95=Resultados!F95,G95=Resultados!G95),2,IF(((F95&gt;G95)=(Resultados!F95&gt;Resultados!G95))*((F95&lt;G95)=(Resultados!F95&lt;Resultados!G95)),1,0)))</f>
        <v/>
      </c>
    </row>
    <row r="96" spans="1:10" ht="16.2" thickBot="1" x14ac:dyDescent="0.35">
      <c r="A96" s="70"/>
      <c r="B96" s="7">
        <v>46200</v>
      </c>
      <c r="C96" s="8">
        <v>0.95833333333333337</v>
      </c>
      <c r="D96" s="9" t="s">
        <v>14</v>
      </c>
      <c r="E96" s="10" t="s">
        <v>69</v>
      </c>
      <c r="F96" s="25">
        <v>0</v>
      </c>
      <c r="G96" s="25">
        <v>2</v>
      </c>
      <c r="H96" s="21" t="s">
        <v>66</v>
      </c>
      <c r="J96" s="1" t="str">
        <f>IF(OR(Resultados!F96="",Resultados!G96=""),"",IF(AND(F96=Resultados!F96,G96=Resultados!G96),2,IF(((F96&gt;G96)=(Resultados!F96&gt;Resultados!G96))*((F96&lt;G96)=(Resultados!F96&lt;Resultados!G96)),1,0)))</f>
        <v/>
      </c>
    </row>
    <row r="97" spans="1:10" ht="16.2" thickBot="1" x14ac:dyDescent="0.35">
      <c r="A97" s="71"/>
      <c r="B97" s="12">
        <v>46200</v>
      </c>
      <c r="C97" s="13">
        <v>0.95833333333333337</v>
      </c>
      <c r="D97" s="14" t="s">
        <v>14</v>
      </c>
      <c r="E97" s="15" t="s">
        <v>67</v>
      </c>
      <c r="F97" s="25">
        <v>0</v>
      </c>
      <c r="G97" s="25">
        <v>2</v>
      </c>
      <c r="H97" s="21" t="s">
        <v>68</v>
      </c>
      <c r="J97" s="1" t="str">
        <f>IF(OR(Resultados!F97="",Resultados!G97=""),"",IF(AND(F97=Resultados!F97,G97=Resultados!G97),2,IF(((F97&gt;G97)=(Resultados!F97&gt;Resultados!G97))*((F97&lt;G97)=(Resultados!F97&lt;Resultados!G97)),1,0)))</f>
        <v/>
      </c>
    </row>
  </sheetData>
  <mergeCells count="14">
    <mergeCell ref="A84:A89"/>
    <mergeCell ref="A92:A97"/>
    <mergeCell ref="A36:A41"/>
    <mergeCell ref="A44:A49"/>
    <mergeCell ref="A52:A57"/>
    <mergeCell ref="A60:A65"/>
    <mergeCell ref="A68:A73"/>
    <mergeCell ref="A76:A81"/>
    <mergeCell ref="A28:A33"/>
    <mergeCell ref="A1:H1"/>
    <mergeCell ref="A2:H2"/>
    <mergeCell ref="A4:A9"/>
    <mergeCell ref="A12:A17"/>
    <mergeCell ref="A20:A25"/>
  </mergeCells>
  <pageMargins left="0.7" right="0.7" top="0.75" bottom="0.75" header="0.3" footer="0.3"/>
  <ignoredErrors>
    <ignoredError sqref="J6:J97 L4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BE87A-98E8-4327-90AC-5858F98E9BC8}">
  <dimension ref="A1:L97"/>
  <sheetViews>
    <sheetView topLeftCell="A32" zoomScale="121" workbookViewId="0">
      <selection activeCell="L87" sqref="L87"/>
    </sheetView>
  </sheetViews>
  <sheetFormatPr baseColWidth="10" defaultRowHeight="15.6" x14ac:dyDescent="0.3"/>
  <cols>
    <col min="1" max="1" width="7.6640625" style="1" bestFit="1" customWidth="1"/>
    <col min="2" max="2" width="11.21875" style="1" bestFit="1" customWidth="1"/>
    <col min="3" max="3" width="6" style="1" bestFit="1" customWidth="1"/>
    <col min="4" max="4" width="4.88671875" style="1" bestFit="1" customWidth="1"/>
    <col min="5" max="5" width="17.109375" style="2" bestFit="1" customWidth="1"/>
    <col min="6" max="7" width="4.5546875" style="2" bestFit="1" customWidth="1"/>
    <col min="8" max="8" width="17.109375" style="1" bestFit="1" customWidth="1"/>
    <col min="9" max="9" width="6.109375" style="1" customWidth="1"/>
    <col min="10" max="10" width="7.77734375" style="1" bestFit="1" customWidth="1"/>
    <col min="11" max="11" width="6.109375" style="1" customWidth="1"/>
    <col min="12" max="16384" width="11.5546875" style="1"/>
  </cols>
  <sheetData>
    <row r="1" spans="1:12" ht="25.8" thickBot="1" x14ac:dyDescent="0.35">
      <c r="A1" s="63" t="s">
        <v>0</v>
      </c>
      <c r="B1" s="64"/>
      <c r="C1" s="64"/>
      <c r="D1" s="64"/>
      <c r="E1" s="64"/>
      <c r="F1" s="64"/>
      <c r="G1" s="64"/>
      <c r="H1" s="65"/>
    </row>
    <row r="2" spans="1:12" ht="16.2" thickBot="1" x14ac:dyDescent="0.35">
      <c r="A2" s="66"/>
      <c r="B2" s="67"/>
      <c r="C2" s="67"/>
      <c r="D2" s="67"/>
      <c r="E2" s="67"/>
      <c r="F2" s="67"/>
      <c r="G2" s="67"/>
      <c r="H2" s="68"/>
    </row>
    <row r="3" spans="1:12" s="2" customFormat="1" ht="16.2" thickBot="1" x14ac:dyDescent="0.35">
      <c r="A3" s="3"/>
      <c r="B3" s="4" t="s">
        <v>1</v>
      </c>
      <c r="C3" s="4" t="s">
        <v>2</v>
      </c>
      <c r="D3" s="4" t="s">
        <v>3</v>
      </c>
      <c r="E3" s="5" t="s">
        <v>4</v>
      </c>
      <c r="F3" s="6" t="s">
        <v>5</v>
      </c>
      <c r="G3" s="6" t="s">
        <v>5</v>
      </c>
      <c r="H3" s="4" t="s">
        <v>6</v>
      </c>
      <c r="J3" s="30" t="s">
        <v>71</v>
      </c>
      <c r="L3" s="2" t="s">
        <v>73</v>
      </c>
    </row>
    <row r="4" spans="1:12" ht="16.2" thickBot="1" x14ac:dyDescent="0.35">
      <c r="A4" s="90" t="s">
        <v>7</v>
      </c>
      <c r="B4" s="7">
        <v>46184</v>
      </c>
      <c r="C4" s="8">
        <v>0.875</v>
      </c>
      <c r="D4" s="9" t="s">
        <v>8</v>
      </c>
      <c r="E4" s="10" t="s">
        <v>9</v>
      </c>
      <c r="F4" s="11">
        <v>2</v>
      </c>
      <c r="G4" s="11">
        <v>0</v>
      </c>
      <c r="H4" s="20" t="s">
        <v>10</v>
      </c>
      <c r="L4" s="1">
        <f>SUM(J:J)</f>
        <v>4</v>
      </c>
    </row>
    <row r="5" spans="1:12" ht="16.2" thickBot="1" x14ac:dyDescent="0.35">
      <c r="A5" s="91"/>
      <c r="B5" s="7">
        <v>46185</v>
      </c>
      <c r="C5" s="8">
        <v>0.16666666666666666</v>
      </c>
      <c r="D5" s="9" t="s">
        <v>8</v>
      </c>
      <c r="E5" s="10" t="s">
        <v>11</v>
      </c>
      <c r="F5" s="11">
        <v>2</v>
      </c>
      <c r="G5" s="11">
        <v>1</v>
      </c>
      <c r="H5" s="20" t="s">
        <v>12</v>
      </c>
    </row>
    <row r="6" spans="1:12" ht="16.2" thickBot="1" x14ac:dyDescent="0.35">
      <c r="A6" s="91"/>
      <c r="B6" s="7">
        <v>46191</v>
      </c>
      <c r="C6" s="8">
        <v>0.75</v>
      </c>
      <c r="D6" s="9" t="s">
        <v>13</v>
      </c>
      <c r="E6" s="10" t="s">
        <v>12</v>
      </c>
      <c r="F6" s="25">
        <v>3</v>
      </c>
      <c r="G6" s="25">
        <v>0</v>
      </c>
      <c r="H6" s="20" t="s">
        <v>10</v>
      </c>
      <c r="J6" s="1" t="str">
        <f>IF(OR(Resultados!F6="",Resultados!G6=""),"",IF(AND(F6=Resultados!F6,G6=Resultados!G6),2,IF(((F6&gt;G6)=(Resultados!F6&gt;Resultados!G6))*((F6&lt;G6)=(Resultados!F6&lt;Resultados!G6)),1,0)))</f>
        <v/>
      </c>
    </row>
    <row r="7" spans="1:12" ht="16.2" thickBot="1" x14ac:dyDescent="0.35">
      <c r="A7" s="91"/>
      <c r="B7" s="7">
        <v>46192</v>
      </c>
      <c r="C7" s="8">
        <v>0.125</v>
      </c>
      <c r="D7" s="9" t="s">
        <v>13</v>
      </c>
      <c r="E7" s="10" t="s">
        <v>9</v>
      </c>
      <c r="F7" s="25">
        <v>1</v>
      </c>
      <c r="G7" s="25">
        <v>1</v>
      </c>
      <c r="H7" s="20" t="s">
        <v>11</v>
      </c>
      <c r="J7" s="1" t="str">
        <f>IF(OR(Resultados!F7="",Resultados!G7=""),"",IF(AND(F7=Resultados!F7,G7=Resultados!G7),2,IF(((F7&gt;G7)=(Resultados!F7&gt;Resultados!G7))*((F7&lt;G7)=(Resultados!F7&lt;Resultados!G7)),1,0)))</f>
        <v/>
      </c>
    </row>
    <row r="8" spans="1:12" ht="16.2" thickBot="1" x14ac:dyDescent="0.35">
      <c r="A8" s="91"/>
      <c r="B8" s="7">
        <v>46198</v>
      </c>
      <c r="C8" s="8">
        <v>0.125</v>
      </c>
      <c r="D8" s="9" t="s">
        <v>14</v>
      </c>
      <c r="E8" s="10" t="s">
        <v>12</v>
      </c>
      <c r="F8" s="25">
        <v>0</v>
      </c>
      <c r="G8" s="25">
        <v>1</v>
      </c>
      <c r="H8" s="20" t="s">
        <v>9</v>
      </c>
      <c r="J8" s="1" t="str">
        <f>IF(OR(Resultados!F8="",Resultados!G8=""),"",IF(AND(F8=Resultados!F8,G8=Resultados!G8),2,IF(((F8&gt;G8)=(Resultados!F8&gt;Resultados!G8))*((F8&lt;G8)=(Resultados!F8&lt;Resultados!G8)),1,0)))</f>
        <v/>
      </c>
    </row>
    <row r="9" spans="1:12" ht="16.2" thickBot="1" x14ac:dyDescent="0.35">
      <c r="A9" s="92"/>
      <c r="B9" s="12">
        <v>46198</v>
      </c>
      <c r="C9" s="13">
        <v>0.125</v>
      </c>
      <c r="D9" s="14" t="s">
        <v>14</v>
      </c>
      <c r="E9" s="15" t="s">
        <v>10</v>
      </c>
      <c r="F9" s="25">
        <v>0</v>
      </c>
      <c r="G9" s="25">
        <v>3</v>
      </c>
      <c r="H9" s="21" t="s">
        <v>11</v>
      </c>
      <c r="J9" s="1" t="str">
        <f>IF(OR(Resultados!F9="",Resultados!G9=""),"",IF(AND(F9=Resultados!F9,G9=Resultados!G9),2,IF(((F9&gt;G9)=(Resultados!F9&gt;Resultados!G9))*((F9&lt;G9)=(Resultados!F9&lt;Resultados!G9)),1,0)))</f>
        <v/>
      </c>
    </row>
    <row r="10" spans="1:12" ht="16.2" thickBot="1" x14ac:dyDescent="0.35">
      <c r="A10" s="17"/>
      <c r="B10" s="18"/>
      <c r="C10" s="18"/>
      <c r="D10" s="18"/>
      <c r="E10" s="18"/>
      <c r="F10" s="18"/>
      <c r="G10" s="18"/>
      <c r="H10" s="22"/>
    </row>
    <row r="11" spans="1:12" ht="16.2" thickBot="1" x14ac:dyDescent="0.35">
      <c r="A11" s="16"/>
      <c r="B11" s="4" t="s">
        <v>1</v>
      </c>
      <c r="C11" s="4" t="s">
        <v>2</v>
      </c>
      <c r="D11" s="4" t="s">
        <v>3</v>
      </c>
      <c r="E11" s="5" t="s">
        <v>4</v>
      </c>
      <c r="F11" s="6" t="s">
        <v>5</v>
      </c>
      <c r="G11" s="6" t="s">
        <v>5</v>
      </c>
      <c r="H11" s="23" t="s">
        <v>6</v>
      </c>
    </row>
    <row r="12" spans="1:12" ht="16.2" thickBot="1" x14ac:dyDescent="0.35">
      <c r="A12" s="93" t="s">
        <v>15</v>
      </c>
      <c r="B12" s="7">
        <v>46185</v>
      </c>
      <c r="C12" s="8">
        <v>0.875</v>
      </c>
      <c r="D12" s="9" t="s">
        <v>8</v>
      </c>
      <c r="E12" s="10" t="s">
        <v>16</v>
      </c>
      <c r="F12" s="11">
        <v>1</v>
      </c>
      <c r="G12" s="11">
        <v>1</v>
      </c>
      <c r="H12" s="21" t="s">
        <v>17</v>
      </c>
    </row>
    <row r="13" spans="1:12" ht="16.2" thickBot="1" x14ac:dyDescent="0.35">
      <c r="A13" s="94"/>
      <c r="B13" s="7">
        <v>46186</v>
      </c>
      <c r="C13" s="8">
        <v>0.875</v>
      </c>
      <c r="D13" s="9" t="s">
        <v>8</v>
      </c>
      <c r="E13" s="10" t="s">
        <v>18</v>
      </c>
      <c r="F13" s="11">
        <v>1</v>
      </c>
      <c r="G13" s="11">
        <v>1</v>
      </c>
      <c r="H13" s="21" t="s">
        <v>19</v>
      </c>
    </row>
    <row r="14" spans="1:12" ht="16.2" thickBot="1" x14ac:dyDescent="0.35">
      <c r="A14" s="94"/>
      <c r="B14" s="7">
        <v>46191</v>
      </c>
      <c r="C14" s="8">
        <v>0.875</v>
      </c>
      <c r="D14" s="9" t="s">
        <v>13</v>
      </c>
      <c r="E14" s="10" t="s">
        <v>19</v>
      </c>
      <c r="F14" s="25">
        <v>1</v>
      </c>
      <c r="G14" s="25">
        <v>2</v>
      </c>
      <c r="H14" s="21" t="s">
        <v>17</v>
      </c>
      <c r="J14" s="1" t="str">
        <f>IF(OR(Resultados!F14="",Resultados!G14=""),"",IF(AND(F14=Resultados!F14,G14=Resultados!G14),2,IF(((F14&gt;G14)=(Resultados!F14&gt;Resultados!G14))*((F14&lt;G14)=(Resultados!F14&lt;Resultados!G14)),1,0)))</f>
        <v/>
      </c>
    </row>
    <row r="15" spans="1:12" ht="16.2" thickBot="1" x14ac:dyDescent="0.35">
      <c r="A15" s="94"/>
      <c r="B15" s="7">
        <v>46192</v>
      </c>
      <c r="C15" s="8">
        <v>0</v>
      </c>
      <c r="D15" s="9" t="s">
        <v>13</v>
      </c>
      <c r="E15" s="10" t="s">
        <v>16</v>
      </c>
      <c r="F15" s="25">
        <v>2</v>
      </c>
      <c r="G15" s="25">
        <v>0</v>
      </c>
      <c r="H15" s="21" t="s">
        <v>18</v>
      </c>
      <c r="J15" s="1" t="str">
        <f>IF(OR(Resultados!F15="",Resultados!G15=""),"",IF(AND(F15=Resultados!F15,G15=Resultados!G15),2,IF(((F15&gt;G15)=(Resultados!F15&gt;Resultados!G15))*((F15&lt;G15)=(Resultados!F15&lt;Resultados!G15)),1,0)))</f>
        <v/>
      </c>
    </row>
    <row r="16" spans="1:12" ht="16.2" thickBot="1" x14ac:dyDescent="0.35">
      <c r="A16" s="94"/>
      <c r="B16" s="7">
        <v>46197</v>
      </c>
      <c r="C16" s="8">
        <v>0.875</v>
      </c>
      <c r="D16" s="9" t="s">
        <v>14</v>
      </c>
      <c r="E16" s="10" t="s">
        <v>19</v>
      </c>
      <c r="F16" s="25">
        <v>2</v>
      </c>
      <c r="G16" s="25">
        <v>1</v>
      </c>
      <c r="H16" s="21" t="s">
        <v>16</v>
      </c>
      <c r="J16" s="1" t="str">
        <f>IF(OR(Resultados!F16="",Resultados!G16=""),"",IF(AND(F16=Resultados!F16,G16=Resultados!G16),2,IF(((F16&gt;G16)=(Resultados!F16&gt;Resultados!G16))*((F16&lt;G16)=(Resultados!F16&lt;Resultados!G16)),1,0)))</f>
        <v/>
      </c>
    </row>
    <row r="17" spans="1:10" ht="16.2" thickBot="1" x14ac:dyDescent="0.35">
      <c r="A17" s="95"/>
      <c r="B17" s="12">
        <v>46197</v>
      </c>
      <c r="C17" s="13">
        <v>0.875</v>
      </c>
      <c r="D17" s="14" t="s">
        <v>14</v>
      </c>
      <c r="E17" s="15" t="s">
        <v>17</v>
      </c>
      <c r="F17" s="25">
        <v>2</v>
      </c>
      <c r="G17" s="25">
        <v>0</v>
      </c>
      <c r="H17" s="21" t="s">
        <v>18</v>
      </c>
      <c r="J17" s="1" t="str">
        <f>IF(OR(Resultados!F17="",Resultados!G17=""),"",IF(AND(F17=Resultados!F17,G17=Resultados!G17),2,IF(((F17&gt;G17)=(Resultados!F17&gt;Resultados!G17))*((F17&lt;G17)=(Resultados!F17&lt;Resultados!G17)),1,0)))</f>
        <v/>
      </c>
    </row>
    <row r="18" spans="1:10" ht="16.2" thickBot="1" x14ac:dyDescent="0.35">
      <c r="A18" s="17"/>
      <c r="B18" s="18"/>
      <c r="C18" s="18"/>
      <c r="D18" s="18"/>
      <c r="E18" s="18"/>
      <c r="F18" s="18"/>
      <c r="G18" s="18"/>
      <c r="H18" s="22"/>
    </row>
    <row r="19" spans="1:10" ht="16.2" thickBot="1" x14ac:dyDescent="0.35">
      <c r="A19" s="16"/>
      <c r="B19" s="4" t="s">
        <v>1</v>
      </c>
      <c r="C19" s="4" t="s">
        <v>2</v>
      </c>
      <c r="D19" s="4" t="s">
        <v>3</v>
      </c>
      <c r="E19" s="5" t="s">
        <v>4</v>
      </c>
      <c r="F19" s="6" t="s">
        <v>5</v>
      </c>
      <c r="G19" s="6" t="s">
        <v>5</v>
      </c>
      <c r="H19" s="23" t="s">
        <v>6</v>
      </c>
    </row>
    <row r="20" spans="1:10" ht="16.2" thickBot="1" x14ac:dyDescent="0.35">
      <c r="A20" s="96" t="s">
        <v>20</v>
      </c>
      <c r="B20" s="7">
        <v>46187</v>
      </c>
      <c r="C20" s="8">
        <v>0</v>
      </c>
      <c r="D20" s="9" t="s">
        <v>8</v>
      </c>
      <c r="E20" s="10" t="s">
        <v>21</v>
      </c>
      <c r="F20" s="11">
        <v>1</v>
      </c>
      <c r="G20" s="11">
        <v>1</v>
      </c>
      <c r="H20" s="21" t="s">
        <v>22</v>
      </c>
    </row>
    <row r="21" spans="1:10" ht="16.2" thickBot="1" x14ac:dyDescent="0.35">
      <c r="A21" s="97"/>
      <c r="B21" s="7">
        <v>46187</v>
      </c>
      <c r="C21" s="8">
        <v>0.125</v>
      </c>
      <c r="D21" s="9" t="s">
        <v>8</v>
      </c>
      <c r="E21" s="10" t="s">
        <v>23</v>
      </c>
      <c r="F21" s="26">
        <v>0</v>
      </c>
      <c r="G21" s="26">
        <v>1</v>
      </c>
      <c r="H21" s="21" t="s">
        <v>24</v>
      </c>
      <c r="J21" s="1">
        <f>IF(OR(Resultados!F21="",Resultados!G21=""),"",IF(AND(F21=Resultados!F21,G21=Resultados!G21),2,IF(((F21&gt;G21)=(Resultados!F21&gt;Resultados!G21))*((F21&lt;G21)=(Resultados!F21&lt;Resultados!G21)),1,0)))</f>
        <v>2</v>
      </c>
    </row>
    <row r="22" spans="1:10" ht="16.2" thickBot="1" x14ac:dyDescent="0.35">
      <c r="A22" s="97"/>
      <c r="B22" s="7">
        <v>46193</v>
      </c>
      <c r="C22" s="8">
        <v>0</v>
      </c>
      <c r="D22" s="9" t="s">
        <v>13</v>
      </c>
      <c r="E22" s="10" t="s">
        <v>24</v>
      </c>
      <c r="F22" s="25">
        <v>0</v>
      </c>
      <c r="G22" s="25">
        <v>1</v>
      </c>
      <c r="H22" s="21" t="s">
        <v>22</v>
      </c>
      <c r="J22" s="1" t="str">
        <f>IF(OR(Resultados!F22="",Resultados!G22=""),"",IF(AND(F22=Resultados!F22,G22=Resultados!G22),2,IF(((F22&gt;G22)=(Resultados!F22&gt;Resultados!G22))*((F22&lt;G22)=(Resultados!F22&lt;Resultados!G22)),1,0)))</f>
        <v/>
      </c>
    </row>
    <row r="23" spans="1:10" ht="16.2" thickBot="1" x14ac:dyDescent="0.35">
      <c r="A23" s="97"/>
      <c r="B23" s="7">
        <v>46193</v>
      </c>
      <c r="C23" s="8">
        <v>0.10416666666666667</v>
      </c>
      <c r="D23" s="9" t="s">
        <v>13</v>
      </c>
      <c r="E23" s="10" t="s">
        <v>21</v>
      </c>
      <c r="F23" s="25">
        <v>5</v>
      </c>
      <c r="G23" s="25">
        <v>0</v>
      </c>
      <c r="H23" s="21" t="s">
        <v>23</v>
      </c>
      <c r="J23" s="1" t="str">
        <f>IF(OR(Resultados!F23="",Resultados!G23=""),"",IF(AND(F23=Resultados!F23,G23=Resultados!G23),2,IF(((F23&gt;G23)=(Resultados!F23&gt;Resultados!G23))*((F23&lt;G23)=(Resultados!F23&lt;Resultados!G23)),1,0)))</f>
        <v/>
      </c>
    </row>
    <row r="24" spans="1:10" ht="16.2" thickBot="1" x14ac:dyDescent="0.35">
      <c r="A24" s="97"/>
      <c r="B24" s="7">
        <v>46198</v>
      </c>
      <c r="C24" s="8">
        <v>0</v>
      </c>
      <c r="D24" s="9" t="s">
        <v>14</v>
      </c>
      <c r="E24" s="10" t="s">
        <v>24</v>
      </c>
      <c r="F24" s="25">
        <v>0</v>
      </c>
      <c r="G24" s="25">
        <v>3</v>
      </c>
      <c r="H24" s="21" t="s">
        <v>21</v>
      </c>
      <c r="J24" s="1" t="str">
        <f>IF(OR(Resultados!F24="",Resultados!G24=""),"",IF(AND(F24=Resultados!F24,G24=Resultados!G24),2,IF(((F24&gt;G24)=(Resultados!F24&gt;Resultados!G24))*((F24&lt;G24)=(Resultados!F24&lt;Resultados!G24)),1,0)))</f>
        <v/>
      </c>
    </row>
    <row r="25" spans="1:10" ht="16.2" thickBot="1" x14ac:dyDescent="0.35">
      <c r="A25" s="98"/>
      <c r="B25" s="12">
        <v>46198</v>
      </c>
      <c r="C25" s="13">
        <v>0</v>
      </c>
      <c r="D25" s="14" t="s">
        <v>14</v>
      </c>
      <c r="E25" s="15" t="s">
        <v>22</v>
      </c>
      <c r="F25" s="25">
        <v>2</v>
      </c>
      <c r="G25" s="25">
        <v>0</v>
      </c>
      <c r="H25" s="21" t="s">
        <v>23</v>
      </c>
      <c r="J25" s="1" t="str">
        <f>IF(OR(Resultados!F25="",Resultados!G25=""),"",IF(AND(F25=Resultados!F25,G25=Resultados!G25),2,IF(((F25&gt;G25)=(Resultados!F25&gt;Resultados!G25))*((F25&lt;G25)=(Resultados!F25&lt;Resultados!G25)),1,0)))</f>
        <v/>
      </c>
    </row>
    <row r="26" spans="1:10" ht="16.2" thickBot="1" x14ac:dyDescent="0.35">
      <c r="A26" s="19"/>
      <c r="B26" s="19"/>
      <c r="C26" s="19"/>
      <c r="D26" s="19"/>
      <c r="E26" s="19"/>
      <c r="F26" s="19"/>
      <c r="G26" s="19"/>
      <c r="H26" s="24"/>
    </row>
    <row r="27" spans="1:10" ht="16.2" thickBot="1" x14ac:dyDescent="0.35">
      <c r="A27" s="16"/>
      <c r="B27" s="4" t="s">
        <v>1</v>
      </c>
      <c r="C27" s="4" t="s">
        <v>2</v>
      </c>
      <c r="D27" s="4" t="s">
        <v>3</v>
      </c>
      <c r="E27" s="5" t="s">
        <v>4</v>
      </c>
      <c r="F27" s="6" t="s">
        <v>5</v>
      </c>
      <c r="G27" s="6" t="s">
        <v>5</v>
      </c>
      <c r="H27" s="23" t="s">
        <v>6</v>
      </c>
    </row>
    <row r="28" spans="1:10" ht="16.2" thickBot="1" x14ac:dyDescent="0.35">
      <c r="A28" s="99" t="s">
        <v>25</v>
      </c>
      <c r="B28" s="7">
        <v>46186</v>
      </c>
      <c r="C28" s="8">
        <v>0.125</v>
      </c>
      <c r="D28" s="9" t="s">
        <v>8</v>
      </c>
      <c r="E28" s="10" t="s">
        <v>26</v>
      </c>
      <c r="F28" s="11">
        <v>4</v>
      </c>
      <c r="G28" s="11">
        <v>1</v>
      </c>
      <c r="H28" s="21" t="s">
        <v>27</v>
      </c>
    </row>
    <row r="29" spans="1:10" ht="16.2" thickBot="1" x14ac:dyDescent="0.35">
      <c r="A29" s="100"/>
      <c r="B29" s="7">
        <v>46187</v>
      </c>
      <c r="C29" s="8">
        <v>0.25</v>
      </c>
      <c r="D29" s="9" t="s">
        <v>8</v>
      </c>
      <c r="E29" s="10" t="s">
        <v>28</v>
      </c>
      <c r="F29" s="26">
        <v>0</v>
      </c>
      <c r="G29" s="26">
        <v>2</v>
      </c>
      <c r="H29" s="21" t="s">
        <v>29</v>
      </c>
      <c r="J29" s="1">
        <f>IF(OR(Resultados!F29="",Resultados!G29=""),"",IF(AND(F29=Resultados!F29,G29=Resultados!G29),2,IF(((F29&gt;G29)=(Resultados!F29&gt;Resultados!G29))*((F29&lt;G29)=(Resultados!F29&lt;Resultados!G29)),1,0)))</f>
        <v>0</v>
      </c>
    </row>
    <row r="30" spans="1:10" ht="16.2" thickBot="1" x14ac:dyDescent="0.35">
      <c r="A30" s="100"/>
      <c r="B30" s="7">
        <v>46192</v>
      </c>
      <c r="C30" s="8">
        <v>0.875</v>
      </c>
      <c r="D30" s="9" t="s">
        <v>13</v>
      </c>
      <c r="E30" s="10" t="s">
        <v>26</v>
      </c>
      <c r="F30" s="25">
        <v>3</v>
      </c>
      <c r="G30" s="25">
        <v>0</v>
      </c>
      <c r="H30" s="21" t="s">
        <v>28</v>
      </c>
      <c r="J30" s="1" t="str">
        <f>IF(OR(Resultados!F30="",Resultados!G30=""),"",IF(AND(F30=Resultados!F30,G30=Resultados!G30),2,IF(((F30&gt;G30)=(Resultados!F30&gt;Resultados!G30))*((F30&lt;G30)=(Resultados!F30&lt;Resultados!G30)),1,0)))</f>
        <v/>
      </c>
    </row>
    <row r="31" spans="1:10" ht="16.2" thickBot="1" x14ac:dyDescent="0.35">
      <c r="A31" s="100"/>
      <c r="B31" s="7">
        <v>46193</v>
      </c>
      <c r="C31" s="8">
        <v>0.20833333333333334</v>
      </c>
      <c r="D31" s="9" t="s">
        <v>13</v>
      </c>
      <c r="E31" s="10" t="s">
        <v>29</v>
      </c>
      <c r="F31" s="25">
        <v>2</v>
      </c>
      <c r="G31" s="25">
        <v>0</v>
      </c>
      <c r="H31" s="21" t="s">
        <v>27</v>
      </c>
      <c r="J31" s="1" t="str">
        <f>IF(OR(Resultados!F31="",Resultados!G31=""),"",IF(AND(F31=Resultados!F31,G31=Resultados!G31),2,IF(((F31&gt;G31)=(Resultados!F31&gt;Resultados!G31))*((F31&lt;G31)=(Resultados!F31&lt;Resultados!G31)),1,0)))</f>
        <v/>
      </c>
    </row>
    <row r="32" spans="1:10" ht="16.2" thickBot="1" x14ac:dyDescent="0.35">
      <c r="A32" s="100"/>
      <c r="B32" s="7">
        <v>46199</v>
      </c>
      <c r="C32" s="8">
        <v>0.16666666666666666</v>
      </c>
      <c r="D32" s="9" t="s">
        <v>14</v>
      </c>
      <c r="E32" s="10" t="s">
        <v>29</v>
      </c>
      <c r="F32" s="25">
        <v>1</v>
      </c>
      <c r="G32" s="25">
        <v>2</v>
      </c>
      <c r="H32" s="21" t="s">
        <v>26</v>
      </c>
      <c r="J32" s="1" t="str">
        <f>IF(OR(Resultados!F32="",Resultados!G32=""),"",IF(AND(F32=Resultados!F32,G32=Resultados!G32),2,IF(((F32&gt;G32)=(Resultados!F32&gt;Resultados!G32))*((F32&lt;G32)=(Resultados!F32&lt;Resultados!G32)),1,0)))</f>
        <v/>
      </c>
    </row>
    <row r="33" spans="1:10" ht="16.2" thickBot="1" x14ac:dyDescent="0.35">
      <c r="A33" s="101"/>
      <c r="B33" s="12">
        <v>46199</v>
      </c>
      <c r="C33" s="13">
        <v>0.16666666666666666</v>
      </c>
      <c r="D33" s="14" t="s">
        <v>14</v>
      </c>
      <c r="E33" s="15" t="s">
        <v>27</v>
      </c>
      <c r="F33" s="25">
        <v>2</v>
      </c>
      <c r="G33" s="25">
        <v>0</v>
      </c>
      <c r="H33" s="21" t="s">
        <v>28</v>
      </c>
      <c r="J33" s="1" t="str">
        <f>IF(OR(Resultados!F33="",Resultados!G33=""),"",IF(AND(F33=Resultados!F33,G33=Resultados!G33),2,IF(((F33&gt;G33)=(Resultados!F33&gt;Resultados!G33))*((F33&lt;G33)=(Resultados!F33&lt;Resultados!G33)),1,0)))</f>
        <v/>
      </c>
    </row>
    <row r="34" spans="1:10" ht="16.2" thickBot="1" x14ac:dyDescent="0.35">
      <c r="A34" s="17"/>
      <c r="B34" s="18"/>
      <c r="C34" s="18"/>
      <c r="D34" s="18"/>
      <c r="E34" s="18"/>
      <c r="F34" s="18"/>
      <c r="G34" s="18"/>
      <c r="H34" s="22"/>
    </row>
    <row r="35" spans="1:10" ht="16.2" thickBot="1" x14ac:dyDescent="0.35">
      <c r="A35" s="16"/>
      <c r="B35" s="4" t="s">
        <v>1</v>
      </c>
      <c r="C35" s="4" t="s">
        <v>2</v>
      </c>
      <c r="D35" s="4" t="s">
        <v>3</v>
      </c>
      <c r="E35" s="5" t="s">
        <v>4</v>
      </c>
      <c r="F35" s="6" t="s">
        <v>5</v>
      </c>
      <c r="G35" s="6" t="s">
        <v>5</v>
      </c>
      <c r="H35" s="23" t="s">
        <v>6</v>
      </c>
    </row>
    <row r="36" spans="1:10" ht="16.2" thickBot="1" x14ac:dyDescent="0.35">
      <c r="A36" s="102" t="s">
        <v>30</v>
      </c>
      <c r="B36" s="7">
        <v>46187</v>
      </c>
      <c r="C36" s="8">
        <v>0.79166666666666663</v>
      </c>
      <c r="D36" s="9" t="s">
        <v>8</v>
      </c>
      <c r="E36" s="10" t="s">
        <v>31</v>
      </c>
      <c r="F36" s="26">
        <v>4</v>
      </c>
      <c r="G36" s="26">
        <v>0</v>
      </c>
      <c r="H36" s="21" t="s">
        <v>32</v>
      </c>
      <c r="J36" s="1">
        <f>IF(OR(Resultados!F36="",Resultados!G36=""),"",IF(AND(F36=Resultados!F36,G36=Resultados!G36),2,IF(((F36&gt;G36)=(Resultados!F36&gt;Resultados!G36))*((F36&lt;G36)=(Resultados!F36&lt;Resultados!G36)),1,0)))</f>
        <v>1</v>
      </c>
    </row>
    <row r="37" spans="1:10" ht="16.2" thickBot="1" x14ac:dyDescent="0.35">
      <c r="A37" s="103"/>
      <c r="B37" s="7">
        <v>46188</v>
      </c>
      <c r="C37" s="8">
        <v>4.1666666666666664E-2</v>
      </c>
      <c r="D37" s="9" t="s">
        <v>8</v>
      </c>
      <c r="E37" s="10" t="s">
        <v>33</v>
      </c>
      <c r="F37" s="26">
        <v>1</v>
      </c>
      <c r="G37" s="26">
        <v>1</v>
      </c>
      <c r="H37" s="21" t="s">
        <v>34</v>
      </c>
      <c r="J37" s="1">
        <f>IF(OR(Resultados!F37="",Resultados!G37=""),"",IF(AND(F37=Resultados!F37,G37=Resultados!G37),2,IF(((F37&gt;G37)=(Resultados!F37&gt;Resultados!G37))*((F37&lt;G37)=(Resultados!F37&lt;Resultados!G37)),1,0)))</f>
        <v>0</v>
      </c>
    </row>
    <row r="38" spans="1:10" ht="16.2" thickBot="1" x14ac:dyDescent="0.35">
      <c r="A38" s="103"/>
      <c r="B38" s="7">
        <v>46193</v>
      </c>
      <c r="C38" s="8">
        <v>0.91666666666666663</v>
      </c>
      <c r="D38" s="9" t="s">
        <v>13</v>
      </c>
      <c r="E38" s="10" t="s">
        <v>31</v>
      </c>
      <c r="F38" s="25">
        <v>2</v>
      </c>
      <c r="G38" s="25">
        <v>1</v>
      </c>
      <c r="H38" s="21" t="s">
        <v>33</v>
      </c>
      <c r="J38" s="1" t="str">
        <f>IF(OR(Resultados!F38="",Resultados!G38=""),"",IF(AND(F38=Resultados!F38,G38=Resultados!G38),2,IF(((F38&gt;G38)=(Resultados!F38&gt;Resultados!G38))*((F38&lt;G38)=(Resultados!F38&lt;Resultados!G38)),1,0)))</f>
        <v/>
      </c>
    </row>
    <row r="39" spans="1:10" ht="16.2" thickBot="1" x14ac:dyDescent="0.35">
      <c r="A39" s="103"/>
      <c r="B39" s="7">
        <v>46194</v>
      </c>
      <c r="C39" s="8">
        <v>8.3333333333333329E-2</v>
      </c>
      <c r="D39" s="9" t="s">
        <v>13</v>
      </c>
      <c r="E39" s="10" t="s">
        <v>34</v>
      </c>
      <c r="F39" s="25">
        <v>3</v>
      </c>
      <c r="G39" s="25">
        <v>0</v>
      </c>
      <c r="H39" s="21" t="s">
        <v>32</v>
      </c>
      <c r="J39" s="1" t="str">
        <f>IF(OR(Resultados!F39="",Resultados!G39=""),"",IF(AND(F39=Resultados!F39,G39=Resultados!G39),2,IF(((F39&gt;G39)=(Resultados!F39&gt;Resultados!G39))*((F39&lt;G39)=(Resultados!F39&lt;Resultados!G39)),1,0)))</f>
        <v/>
      </c>
    </row>
    <row r="40" spans="1:10" ht="16.2" thickBot="1" x14ac:dyDescent="0.35">
      <c r="A40" s="103"/>
      <c r="B40" s="7">
        <v>46198</v>
      </c>
      <c r="C40" s="8">
        <v>0.91666666666666663</v>
      </c>
      <c r="D40" s="9" t="s">
        <v>14</v>
      </c>
      <c r="E40" s="10" t="s">
        <v>32</v>
      </c>
      <c r="F40" s="25">
        <v>0</v>
      </c>
      <c r="G40" s="25">
        <v>2</v>
      </c>
      <c r="H40" s="21" t="s">
        <v>33</v>
      </c>
      <c r="J40" s="1" t="str">
        <f>IF(OR(Resultados!F40="",Resultados!G40=""),"",IF(AND(F40=Resultados!F40,G40=Resultados!G40),2,IF(((F40&gt;G40)=(Resultados!F40&gt;Resultados!G40))*((F40&lt;G40)=(Resultados!F40&lt;Resultados!G40)),1,0)))</f>
        <v/>
      </c>
    </row>
    <row r="41" spans="1:10" ht="16.2" thickBot="1" x14ac:dyDescent="0.35">
      <c r="A41" s="104"/>
      <c r="B41" s="12">
        <v>46198</v>
      </c>
      <c r="C41" s="13">
        <v>0.91666666666666663</v>
      </c>
      <c r="D41" s="14" t="s">
        <v>14</v>
      </c>
      <c r="E41" s="15" t="s">
        <v>34</v>
      </c>
      <c r="F41" s="25">
        <v>1</v>
      </c>
      <c r="G41" s="25">
        <v>2</v>
      </c>
      <c r="H41" s="21" t="s">
        <v>31</v>
      </c>
      <c r="J41" s="1" t="str">
        <f>IF(OR(Resultados!F41="",Resultados!G41=""),"",IF(AND(F41=Resultados!F41,G41=Resultados!G41),2,IF(((F41&gt;G41)=(Resultados!F41&gt;Resultados!G41))*((F41&lt;G41)=(Resultados!F41&lt;Resultados!G41)),1,0)))</f>
        <v/>
      </c>
    </row>
    <row r="42" spans="1:10" ht="16.2" thickBot="1" x14ac:dyDescent="0.35">
      <c r="A42" s="17"/>
      <c r="B42" s="18"/>
      <c r="C42" s="18"/>
      <c r="D42" s="18"/>
      <c r="E42" s="18"/>
      <c r="F42" s="18"/>
      <c r="G42" s="18"/>
      <c r="H42" s="22"/>
    </row>
    <row r="43" spans="1:10" ht="16.2" thickBot="1" x14ac:dyDescent="0.35">
      <c r="A43" s="16"/>
      <c r="B43" s="4" t="s">
        <v>1</v>
      </c>
      <c r="C43" s="4" t="s">
        <v>2</v>
      </c>
      <c r="D43" s="4" t="s">
        <v>3</v>
      </c>
      <c r="E43" s="5" t="s">
        <v>4</v>
      </c>
      <c r="F43" s="6" t="s">
        <v>5</v>
      </c>
      <c r="G43" s="6" t="s">
        <v>5</v>
      </c>
      <c r="H43" s="23" t="s">
        <v>6</v>
      </c>
    </row>
    <row r="44" spans="1:10" ht="16.2" thickBot="1" x14ac:dyDescent="0.35">
      <c r="A44" s="72" t="s">
        <v>35</v>
      </c>
      <c r="B44" s="7">
        <v>46187</v>
      </c>
      <c r="C44" s="8">
        <v>0.91666666666666663</v>
      </c>
      <c r="D44" s="9" t="s">
        <v>8</v>
      </c>
      <c r="E44" s="10" t="s">
        <v>36</v>
      </c>
      <c r="F44" s="26">
        <v>1</v>
      </c>
      <c r="G44" s="26">
        <v>0</v>
      </c>
      <c r="H44" s="21" t="s">
        <v>37</v>
      </c>
      <c r="J44" s="1">
        <f>IF(OR(Resultados!F44="",Resultados!G44=""),"",IF(AND(F44=Resultados!F44,G44=Resultados!G44),2,IF(((F44&gt;G44)=(Resultados!F44&gt;Resultados!G44))*((F44&lt;G44)=(Resultados!F44&lt;Resultados!G44)),1,0)))</f>
        <v>0</v>
      </c>
    </row>
    <row r="45" spans="1:10" ht="16.2" thickBot="1" x14ac:dyDescent="0.35">
      <c r="A45" s="73"/>
      <c r="B45" s="7">
        <v>46188</v>
      </c>
      <c r="C45" s="8">
        <v>0.16666666666666666</v>
      </c>
      <c r="D45" s="9" t="s">
        <v>8</v>
      </c>
      <c r="E45" s="10" t="s">
        <v>38</v>
      </c>
      <c r="F45" s="26">
        <v>2</v>
      </c>
      <c r="G45" s="26">
        <v>0</v>
      </c>
      <c r="H45" s="21" t="s">
        <v>39</v>
      </c>
      <c r="J45" s="1">
        <f>IF(OR(Resultados!F45="",Resultados!G45=""),"",IF(AND(F45=Resultados!F45,G45=Resultados!G45),2,IF(((F45&gt;G45)=(Resultados!F45&gt;Resultados!G45))*((F45&lt;G45)=(Resultados!F45&lt;Resultados!G45)),1,0)))</f>
        <v>1</v>
      </c>
    </row>
    <row r="46" spans="1:10" ht="16.2" thickBot="1" x14ac:dyDescent="0.35">
      <c r="A46" s="73"/>
      <c r="B46" s="7">
        <v>46193</v>
      </c>
      <c r="C46" s="8">
        <v>0.79166666666666663</v>
      </c>
      <c r="D46" s="9" t="s">
        <v>13</v>
      </c>
      <c r="E46" s="10" t="s">
        <v>36</v>
      </c>
      <c r="F46" s="25">
        <v>2</v>
      </c>
      <c r="G46" s="25">
        <v>1</v>
      </c>
      <c r="H46" s="21" t="s">
        <v>38</v>
      </c>
      <c r="J46" s="1" t="str">
        <f>IF(OR(Resultados!F46="",Resultados!G46=""),"",IF(AND(F46=Resultados!F46,G46=Resultados!G46),2,IF(((F46&gt;G46)=(Resultados!F46&gt;Resultados!G46))*((F46&lt;G46)=(Resultados!F46&lt;Resultados!G46)),1,0)))</f>
        <v/>
      </c>
    </row>
    <row r="47" spans="1:10" ht="16.2" thickBot="1" x14ac:dyDescent="0.35">
      <c r="A47" s="73"/>
      <c r="B47" s="7">
        <v>46194</v>
      </c>
      <c r="C47" s="8">
        <v>0.25</v>
      </c>
      <c r="D47" s="9" t="s">
        <v>13</v>
      </c>
      <c r="E47" s="10" t="s">
        <v>39</v>
      </c>
      <c r="F47" s="25">
        <v>0</v>
      </c>
      <c r="G47" s="25">
        <v>2</v>
      </c>
      <c r="H47" s="21" t="s">
        <v>37</v>
      </c>
      <c r="J47" s="1" t="str">
        <f>IF(OR(Resultados!F47="",Resultados!G47=""),"",IF(AND(F47=Resultados!F47,G47=Resultados!G47),2,IF(((F47&gt;G47)=(Resultados!F47&gt;Resultados!G47))*((F47&lt;G47)=(Resultados!F47&lt;Resultados!G47)),1,0)))</f>
        <v/>
      </c>
    </row>
    <row r="48" spans="1:10" ht="16.2" thickBot="1" x14ac:dyDescent="0.35">
      <c r="A48" s="73"/>
      <c r="B48" s="7">
        <v>46199</v>
      </c>
      <c r="C48" s="8">
        <v>4.1666666666666664E-2</v>
      </c>
      <c r="D48" s="9" t="s">
        <v>14</v>
      </c>
      <c r="E48" s="10" t="s">
        <v>37</v>
      </c>
      <c r="F48" s="25">
        <v>2</v>
      </c>
      <c r="G48" s="25">
        <v>1</v>
      </c>
      <c r="H48" s="21" t="s">
        <v>38</v>
      </c>
      <c r="J48" s="1" t="str">
        <f>IF(OR(Resultados!F48="",Resultados!G48=""),"",IF(AND(F48=Resultados!F48,G48=Resultados!G48),2,IF(((F48&gt;G48)=(Resultados!F48&gt;Resultados!G48))*((F48&lt;G48)=(Resultados!F48&lt;Resultados!G48)),1,0)))</f>
        <v/>
      </c>
    </row>
    <row r="49" spans="1:10" ht="16.2" thickBot="1" x14ac:dyDescent="0.35">
      <c r="A49" s="74"/>
      <c r="B49" s="12">
        <v>46199</v>
      </c>
      <c r="C49" s="13">
        <v>4.1666666666666664E-2</v>
      </c>
      <c r="D49" s="14" t="s">
        <v>14</v>
      </c>
      <c r="E49" s="15" t="s">
        <v>39</v>
      </c>
      <c r="F49" s="25">
        <v>0</v>
      </c>
      <c r="G49" s="25">
        <v>2</v>
      </c>
      <c r="H49" s="21" t="s">
        <v>36</v>
      </c>
      <c r="J49" s="1" t="str">
        <f>IF(OR(Resultados!F49="",Resultados!G49=""),"",IF(AND(F49=Resultados!F49,G49=Resultados!G49),2,IF(((F49&gt;G49)=(Resultados!F49&gt;Resultados!G49))*((F49&lt;G49)=(Resultados!F49&lt;Resultados!G49)),1,0)))</f>
        <v/>
      </c>
    </row>
    <row r="50" spans="1:10" ht="16.2" thickBot="1" x14ac:dyDescent="0.35">
      <c r="A50" s="17"/>
      <c r="B50" s="18"/>
      <c r="C50" s="18"/>
      <c r="D50" s="18"/>
      <c r="E50" s="18"/>
      <c r="F50" s="18"/>
      <c r="G50" s="18"/>
      <c r="H50" s="22"/>
    </row>
    <row r="51" spans="1:10" ht="16.2" thickBot="1" x14ac:dyDescent="0.35">
      <c r="A51" s="16"/>
      <c r="B51" s="4" t="s">
        <v>1</v>
      </c>
      <c r="C51" s="4" t="s">
        <v>2</v>
      </c>
      <c r="D51" s="4" t="s">
        <v>3</v>
      </c>
      <c r="E51" s="5" t="s">
        <v>4</v>
      </c>
      <c r="F51" s="6" t="s">
        <v>5</v>
      </c>
      <c r="G51" s="6" t="s">
        <v>5</v>
      </c>
      <c r="H51" s="23" t="s">
        <v>6</v>
      </c>
    </row>
    <row r="52" spans="1:10" ht="16.2" thickBot="1" x14ac:dyDescent="0.35">
      <c r="A52" s="75" t="s">
        <v>40</v>
      </c>
      <c r="B52" s="7">
        <v>46188</v>
      </c>
      <c r="C52" s="8">
        <v>0.875</v>
      </c>
      <c r="D52" s="9" t="s">
        <v>8</v>
      </c>
      <c r="E52" s="10" t="s">
        <v>41</v>
      </c>
      <c r="F52" s="26">
        <v>2</v>
      </c>
      <c r="G52" s="26">
        <v>1</v>
      </c>
      <c r="H52" s="21" t="s">
        <v>42</v>
      </c>
      <c r="J52" s="1" t="str">
        <f>IF(OR(Resultados!F52="",Resultados!G52=""),"",IF(AND(F52=Resultados!F52,G52=Resultados!G52),2,IF(((F52&gt;G52)=(Resultados!F52&gt;Resultados!G52))*((F52&lt;G52)=(Resultados!F52&lt;Resultados!G52)),1,0)))</f>
        <v/>
      </c>
    </row>
    <row r="53" spans="1:10" ht="16.2" thickBot="1" x14ac:dyDescent="0.35">
      <c r="A53" s="76"/>
      <c r="B53" s="7">
        <v>46189</v>
      </c>
      <c r="C53" s="8">
        <v>0.125</v>
      </c>
      <c r="D53" s="9" t="s">
        <v>8</v>
      </c>
      <c r="E53" s="10" t="s">
        <v>43</v>
      </c>
      <c r="F53" s="26">
        <v>1</v>
      </c>
      <c r="G53" s="26">
        <v>0</v>
      </c>
      <c r="H53" s="21" t="s">
        <v>44</v>
      </c>
      <c r="J53" s="1" t="str">
        <f>IF(OR(Resultados!F53="",Resultados!G53=""),"",IF(AND(F53=Resultados!F53,G53=Resultados!G53),2,IF(((F53&gt;G53)=(Resultados!F53&gt;Resultados!G53))*((F53&lt;G53)=(Resultados!F53&lt;Resultados!G53)),1,0)))</f>
        <v/>
      </c>
    </row>
    <row r="54" spans="1:10" ht="16.2" thickBot="1" x14ac:dyDescent="0.35">
      <c r="A54" s="76"/>
      <c r="B54" s="7">
        <v>46194</v>
      </c>
      <c r="C54" s="8">
        <v>0.875</v>
      </c>
      <c r="D54" s="9" t="s">
        <v>13</v>
      </c>
      <c r="E54" s="10" t="s">
        <v>41</v>
      </c>
      <c r="F54" s="25">
        <v>2</v>
      </c>
      <c r="G54" s="25">
        <v>0</v>
      </c>
      <c r="H54" s="21" t="s">
        <v>43</v>
      </c>
      <c r="J54" s="1" t="str">
        <f>IF(OR(Resultados!F54="",Resultados!G54=""),"",IF(AND(F54=Resultados!F54,G54=Resultados!G54),2,IF(((F54&gt;G54)=(Resultados!F54&gt;Resultados!G54))*((F54&lt;G54)=(Resultados!F54&lt;Resultados!G54)),1,0)))</f>
        <v/>
      </c>
    </row>
    <row r="55" spans="1:10" ht="16.2" thickBot="1" x14ac:dyDescent="0.35">
      <c r="A55" s="76"/>
      <c r="B55" s="7">
        <v>46195</v>
      </c>
      <c r="C55" s="8">
        <v>0.125</v>
      </c>
      <c r="D55" s="9" t="s">
        <v>13</v>
      </c>
      <c r="E55" s="10" t="s">
        <v>44</v>
      </c>
      <c r="F55" s="25">
        <v>0</v>
      </c>
      <c r="G55" s="25">
        <v>2</v>
      </c>
      <c r="H55" s="21" t="s">
        <v>42</v>
      </c>
      <c r="J55" s="1" t="str">
        <f>IF(OR(Resultados!F55="",Resultados!G55=""),"",IF(AND(F55=Resultados!F55,G55=Resultados!G55),2,IF(((F55&gt;G55)=(Resultados!F55&gt;Resultados!G55))*((F55&lt;G55)=(Resultados!F55&lt;Resultados!G55)),1,0)))</f>
        <v/>
      </c>
    </row>
    <row r="56" spans="1:10" ht="16.2" thickBot="1" x14ac:dyDescent="0.35">
      <c r="A56" s="76"/>
      <c r="B56" s="7">
        <v>46200</v>
      </c>
      <c r="C56" s="8">
        <v>0.20833333333333334</v>
      </c>
      <c r="D56" s="9" t="s">
        <v>14</v>
      </c>
      <c r="E56" s="10" t="s">
        <v>42</v>
      </c>
      <c r="F56" s="25">
        <v>2</v>
      </c>
      <c r="G56" s="25">
        <v>1</v>
      </c>
      <c r="H56" s="21" t="s">
        <v>43</v>
      </c>
      <c r="J56" s="1" t="str">
        <f>IF(OR(Resultados!F56="",Resultados!G56=""),"",IF(AND(F56=Resultados!F56,G56=Resultados!G56),2,IF(((F56&gt;G56)=(Resultados!F56&gt;Resultados!G56))*((F56&lt;G56)=(Resultados!F56&lt;Resultados!G56)),1,0)))</f>
        <v/>
      </c>
    </row>
    <row r="57" spans="1:10" ht="16.2" thickBot="1" x14ac:dyDescent="0.35">
      <c r="A57" s="77"/>
      <c r="B57" s="12">
        <v>46200</v>
      </c>
      <c r="C57" s="13">
        <v>0.20833333333333334</v>
      </c>
      <c r="D57" s="14" t="s">
        <v>14</v>
      </c>
      <c r="E57" s="15" t="s">
        <v>44</v>
      </c>
      <c r="F57" s="25">
        <v>1</v>
      </c>
      <c r="G57" s="25">
        <v>4</v>
      </c>
      <c r="H57" s="21" t="s">
        <v>41</v>
      </c>
      <c r="J57" s="1" t="str">
        <f>IF(OR(Resultados!F57="",Resultados!G57=""),"",IF(AND(F57=Resultados!F57,G57=Resultados!G57),2,IF(((F57&gt;G57)=(Resultados!F57&gt;Resultados!G57))*((F57&lt;G57)=(Resultados!F57&lt;Resultados!G57)),1,0)))</f>
        <v/>
      </c>
    </row>
    <row r="58" spans="1:10" ht="16.2" thickBot="1" x14ac:dyDescent="0.35">
      <c r="A58" s="17"/>
      <c r="B58" s="18"/>
      <c r="C58" s="18"/>
      <c r="D58" s="18"/>
      <c r="E58" s="18"/>
      <c r="F58" s="18"/>
      <c r="G58" s="18"/>
      <c r="H58" s="22"/>
    </row>
    <row r="59" spans="1:10" ht="16.2" thickBot="1" x14ac:dyDescent="0.35">
      <c r="A59" s="16"/>
      <c r="B59" s="4" t="s">
        <v>1</v>
      </c>
      <c r="C59" s="4" t="s">
        <v>2</v>
      </c>
      <c r="D59" s="4" t="s">
        <v>3</v>
      </c>
      <c r="E59" s="5" t="s">
        <v>4</v>
      </c>
      <c r="F59" s="6" t="s">
        <v>5</v>
      </c>
      <c r="G59" s="6" t="s">
        <v>5</v>
      </c>
      <c r="H59" s="23" t="s">
        <v>6</v>
      </c>
    </row>
    <row r="60" spans="1:10" ht="16.2" thickBot="1" x14ac:dyDescent="0.35">
      <c r="A60" s="78" t="s">
        <v>45</v>
      </c>
      <c r="B60" s="7">
        <v>46188</v>
      </c>
      <c r="C60" s="8">
        <v>0.75</v>
      </c>
      <c r="D60" s="9" t="s">
        <v>8</v>
      </c>
      <c r="E60" s="10" t="s">
        <v>46</v>
      </c>
      <c r="F60" s="26">
        <v>3</v>
      </c>
      <c r="G60" s="26">
        <v>0</v>
      </c>
      <c r="H60" s="21" t="s">
        <v>47</v>
      </c>
      <c r="J60" s="1" t="str">
        <f>IF(OR(Resultados!F60="",Resultados!G60=""),"",IF(AND(F60=Resultados!F60,G60=Resultados!G60),2,IF(((F60&gt;G60)=(Resultados!F60&gt;Resultados!G60))*((F60&lt;G60)=(Resultados!F60&lt;Resultados!G60)),1,0)))</f>
        <v/>
      </c>
    </row>
    <row r="61" spans="1:10" ht="16.2" thickBot="1" x14ac:dyDescent="0.35">
      <c r="A61" s="79"/>
      <c r="B61" s="7">
        <v>46189</v>
      </c>
      <c r="C61" s="8">
        <v>0</v>
      </c>
      <c r="D61" s="9" t="s">
        <v>8</v>
      </c>
      <c r="E61" s="10" t="s">
        <v>48</v>
      </c>
      <c r="F61" s="26">
        <v>0</v>
      </c>
      <c r="G61" s="26">
        <v>3</v>
      </c>
      <c r="H61" s="21" t="s">
        <v>49</v>
      </c>
      <c r="J61" s="1" t="str">
        <f>IF(OR(Resultados!F61="",Resultados!G61=""),"",IF(AND(F61=Resultados!F61,G61=Resultados!G61),2,IF(((F61&gt;G61)=(Resultados!F61&gt;Resultados!G61))*((F61&lt;G61)=(Resultados!F61&lt;Resultados!G61)),1,0)))</f>
        <v/>
      </c>
    </row>
    <row r="62" spans="1:10" ht="16.2" thickBot="1" x14ac:dyDescent="0.35">
      <c r="A62" s="79"/>
      <c r="B62" s="7">
        <v>46194</v>
      </c>
      <c r="C62" s="8">
        <v>0.75</v>
      </c>
      <c r="D62" s="9" t="s">
        <v>13</v>
      </c>
      <c r="E62" s="10" t="s">
        <v>46</v>
      </c>
      <c r="F62" s="25">
        <v>3</v>
      </c>
      <c r="G62" s="25">
        <v>0</v>
      </c>
      <c r="H62" s="21" t="s">
        <v>48</v>
      </c>
      <c r="J62" s="1" t="str">
        <f>IF(OR(Resultados!F62="",Resultados!G62=""),"",IF(AND(F62=Resultados!F62,G62=Resultados!G62),2,IF(((F62&gt;G62)=(Resultados!F62&gt;Resultados!G62))*((F62&lt;G62)=(Resultados!F62&lt;Resultados!G62)),1,0)))</f>
        <v/>
      </c>
    </row>
    <row r="63" spans="1:10" ht="16.2" thickBot="1" x14ac:dyDescent="0.35">
      <c r="A63" s="79"/>
      <c r="B63" s="7">
        <v>46195</v>
      </c>
      <c r="C63" s="8">
        <v>0</v>
      </c>
      <c r="D63" s="9" t="s">
        <v>13</v>
      </c>
      <c r="E63" s="10" t="s">
        <v>49</v>
      </c>
      <c r="F63" s="25">
        <v>3</v>
      </c>
      <c r="G63" s="25">
        <v>0</v>
      </c>
      <c r="H63" s="21" t="s">
        <v>47</v>
      </c>
      <c r="J63" s="1" t="str">
        <f>IF(OR(Resultados!F63="",Resultados!G63=""),"",IF(AND(F63=Resultados!F63,G63=Resultados!G63),2,IF(((F63&gt;G63)=(Resultados!F63&gt;Resultados!G63))*((F63&lt;G63)=(Resultados!F63&lt;Resultados!G63)),1,0)))</f>
        <v/>
      </c>
    </row>
    <row r="64" spans="1:10" ht="16.2" thickBot="1" x14ac:dyDescent="0.35">
      <c r="A64" s="79"/>
      <c r="B64" s="7">
        <v>46200</v>
      </c>
      <c r="C64" s="8">
        <v>8.3333333333333329E-2</v>
      </c>
      <c r="D64" s="9" t="s">
        <v>14</v>
      </c>
      <c r="E64" s="10" t="s">
        <v>47</v>
      </c>
      <c r="F64" s="25">
        <v>0</v>
      </c>
      <c r="G64" s="25">
        <v>1</v>
      </c>
      <c r="H64" s="21" t="s">
        <v>48</v>
      </c>
      <c r="J64" s="1" t="str">
        <f>IF(OR(Resultados!F64="",Resultados!G64=""),"",IF(AND(F64=Resultados!F64,G64=Resultados!G64),2,IF(((F64&gt;G64)=(Resultados!F64&gt;Resultados!G64))*((F64&lt;G64)=(Resultados!F64&lt;Resultados!G64)),1,0)))</f>
        <v/>
      </c>
    </row>
    <row r="65" spans="1:10" ht="16.2" thickBot="1" x14ac:dyDescent="0.35">
      <c r="A65" s="80"/>
      <c r="B65" s="12">
        <v>46200</v>
      </c>
      <c r="C65" s="13">
        <v>8.3333333333333329E-2</v>
      </c>
      <c r="D65" s="14" t="s">
        <v>14</v>
      </c>
      <c r="E65" s="15" t="s">
        <v>49</v>
      </c>
      <c r="F65" s="25">
        <v>1</v>
      </c>
      <c r="G65" s="25">
        <v>2</v>
      </c>
      <c r="H65" s="21" t="s">
        <v>46</v>
      </c>
      <c r="J65" s="1" t="str">
        <f>IF(OR(Resultados!F65="",Resultados!G65=""),"",IF(AND(F65=Resultados!F65,G65=Resultados!G65),2,IF(((F65&gt;G65)=(Resultados!F65&gt;Resultados!G65))*((F65&lt;G65)=(Resultados!F65&lt;Resultados!G65)),1,0)))</f>
        <v/>
      </c>
    </row>
    <row r="66" spans="1:10" ht="16.2" thickBot="1" x14ac:dyDescent="0.35">
      <c r="A66" s="17"/>
      <c r="B66" s="18"/>
      <c r="C66" s="18"/>
      <c r="D66" s="18"/>
      <c r="E66" s="18"/>
      <c r="F66" s="18"/>
      <c r="G66" s="18"/>
      <c r="H66" s="22"/>
    </row>
    <row r="67" spans="1:10" ht="16.2" thickBot="1" x14ac:dyDescent="0.35">
      <c r="A67" s="16"/>
      <c r="B67" s="4" t="s">
        <v>1</v>
      </c>
      <c r="C67" s="4" t="s">
        <v>2</v>
      </c>
      <c r="D67" s="4" t="s">
        <v>3</v>
      </c>
      <c r="E67" s="5" t="s">
        <v>4</v>
      </c>
      <c r="F67" s="6" t="s">
        <v>5</v>
      </c>
      <c r="G67" s="6" t="s">
        <v>5</v>
      </c>
      <c r="H67" s="23" t="s">
        <v>6</v>
      </c>
    </row>
    <row r="68" spans="1:10" ht="16.2" thickBot="1" x14ac:dyDescent="0.35">
      <c r="A68" s="81" t="s">
        <v>50</v>
      </c>
      <c r="B68" s="7">
        <v>46189</v>
      </c>
      <c r="C68" s="8">
        <v>0.875</v>
      </c>
      <c r="D68" s="9" t="s">
        <v>8</v>
      </c>
      <c r="E68" s="10" t="s">
        <v>51</v>
      </c>
      <c r="F68" s="26">
        <v>3</v>
      </c>
      <c r="G68" s="26">
        <v>1</v>
      </c>
      <c r="H68" s="21" t="s">
        <v>52</v>
      </c>
      <c r="J68" s="1" t="str">
        <f>IF(OR(Resultados!F68="",Resultados!G68=""),"",IF(AND(F68=Resultados!F68,G68=Resultados!G68),2,IF(((F68&gt;G68)=(Resultados!F68&gt;Resultados!G68))*((F68&lt;G68)=(Resultados!F68&lt;Resultados!G68)),1,0)))</f>
        <v/>
      </c>
    </row>
    <row r="69" spans="1:10" ht="16.2" thickBot="1" x14ac:dyDescent="0.35">
      <c r="A69" s="82"/>
      <c r="B69" s="7">
        <v>46190</v>
      </c>
      <c r="C69" s="8">
        <v>0</v>
      </c>
      <c r="D69" s="9" t="s">
        <v>8</v>
      </c>
      <c r="E69" s="10" t="s">
        <v>53</v>
      </c>
      <c r="F69" s="26">
        <v>0</v>
      </c>
      <c r="G69" s="26">
        <v>2</v>
      </c>
      <c r="H69" s="21" t="s">
        <v>54</v>
      </c>
      <c r="J69" s="1" t="str">
        <f>IF(OR(Resultados!F69="",Resultados!G69=""),"",IF(AND(F69=Resultados!F69,G69=Resultados!G69),2,IF(((F69&gt;G69)=(Resultados!F69&gt;Resultados!G69))*((F69&lt;G69)=(Resultados!F69&lt;Resultados!G69)),1,0)))</f>
        <v/>
      </c>
    </row>
    <row r="70" spans="1:10" ht="16.2" thickBot="1" x14ac:dyDescent="0.35">
      <c r="A70" s="82"/>
      <c r="B70" s="7">
        <v>46195</v>
      </c>
      <c r="C70" s="8">
        <v>0.95833333333333337</v>
      </c>
      <c r="D70" s="9" t="s">
        <v>13</v>
      </c>
      <c r="E70" s="10" t="s">
        <v>51</v>
      </c>
      <c r="F70" s="25">
        <v>4</v>
      </c>
      <c r="G70" s="25">
        <v>0</v>
      </c>
      <c r="H70" s="21" t="s">
        <v>53</v>
      </c>
      <c r="J70" s="1" t="str">
        <f>IF(OR(Resultados!F70="",Resultados!G70=""),"",IF(AND(F70=Resultados!F70,G70=Resultados!G70),2,IF(((F70&gt;G70)=(Resultados!F70&gt;Resultados!G70))*((F70&lt;G70)=(Resultados!F70&lt;Resultados!G70)),1,0)))</f>
        <v/>
      </c>
    </row>
    <row r="71" spans="1:10" ht="16.2" thickBot="1" x14ac:dyDescent="0.35">
      <c r="A71" s="82"/>
      <c r="B71" s="7">
        <v>46196</v>
      </c>
      <c r="C71" s="8">
        <v>8.3333333333333329E-2</v>
      </c>
      <c r="D71" s="9" t="s">
        <v>13</v>
      </c>
      <c r="E71" s="10" t="s">
        <v>54</v>
      </c>
      <c r="F71" s="25">
        <v>3</v>
      </c>
      <c r="G71" s="25">
        <v>1</v>
      </c>
      <c r="H71" s="21" t="s">
        <v>52</v>
      </c>
      <c r="J71" s="1" t="str">
        <f>IF(OR(Resultados!F71="",Resultados!G71=""),"",IF(AND(F71=Resultados!F71,G71=Resultados!G71),2,IF(((F71&gt;G71)=(Resultados!F71&gt;Resultados!G71))*((F71&lt;G71)=(Resultados!F71&lt;Resultados!G71)),1,0)))</f>
        <v/>
      </c>
    </row>
    <row r="72" spans="1:10" ht="16.2" thickBot="1" x14ac:dyDescent="0.35">
      <c r="A72" s="82"/>
      <c r="B72" s="7">
        <v>46199</v>
      </c>
      <c r="C72" s="8">
        <v>0.875</v>
      </c>
      <c r="D72" s="9" t="s">
        <v>14</v>
      </c>
      <c r="E72" s="10" t="s">
        <v>54</v>
      </c>
      <c r="F72" s="25">
        <v>1</v>
      </c>
      <c r="G72" s="25">
        <v>3</v>
      </c>
      <c r="H72" s="21" t="s">
        <v>51</v>
      </c>
      <c r="J72" s="1" t="str">
        <f>IF(OR(Resultados!F72="",Resultados!G72=""),"",IF(AND(F72=Resultados!F72,G72=Resultados!G72),2,IF(((F72&gt;G72)=(Resultados!F72&gt;Resultados!G72))*((F72&lt;G72)=(Resultados!F72&lt;Resultados!G72)),1,0)))</f>
        <v/>
      </c>
    </row>
    <row r="73" spans="1:10" ht="16.2" thickBot="1" x14ac:dyDescent="0.35">
      <c r="A73" s="83"/>
      <c r="B73" s="12">
        <v>46199</v>
      </c>
      <c r="C73" s="13">
        <v>0.875</v>
      </c>
      <c r="D73" s="14" t="s">
        <v>14</v>
      </c>
      <c r="E73" s="15" t="s">
        <v>52</v>
      </c>
      <c r="F73" s="25">
        <v>2</v>
      </c>
      <c r="G73" s="25">
        <v>0</v>
      </c>
      <c r="H73" s="21" t="s">
        <v>53</v>
      </c>
      <c r="J73" s="1" t="str">
        <f>IF(OR(Resultados!F73="",Resultados!G73=""),"",IF(AND(F73=Resultados!F73,G73=Resultados!G73),2,IF(((F73&gt;G73)=(Resultados!F73&gt;Resultados!G73))*((F73&lt;G73)=(Resultados!F73&lt;Resultados!G73)),1,0)))</f>
        <v/>
      </c>
    </row>
    <row r="74" spans="1:10" ht="16.2" thickBot="1" x14ac:dyDescent="0.35">
      <c r="A74" s="17"/>
      <c r="B74" s="18"/>
      <c r="C74" s="18"/>
      <c r="D74" s="18"/>
      <c r="E74" s="18"/>
      <c r="F74" s="18"/>
      <c r="G74" s="18"/>
      <c r="H74" s="22"/>
    </row>
    <row r="75" spans="1:10" ht="16.2" thickBot="1" x14ac:dyDescent="0.35">
      <c r="A75" s="16"/>
      <c r="B75" s="4" t="s">
        <v>1</v>
      </c>
      <c r="C75" s="4" t="s">
        <v>2</v>
      </c>
      <c r="D75" s="4" t="s">
        <v>3</v>
      </c>
      <c r="E75" s="5" t="s">
        <v>4</v>
      </c>
      <c r="F75" s="6" t="s">
        <v>5</v>
      </c>
      <c r="G75" s="6" t="s">
        <v>5</v>
      </c>
      <c r="H75" s="23" t="s">
        <v>6</v>
      </c>
    </row>
    <row r="76" spans="1:10" ht="16.2" thickBot="1" x14ac:dyDescent="0.35">
      <c r="A76" s="84" t="s">
        <v>55</v>
      </c>
      <c r="B76" s="7">
        <v>46190</v>
      </c>
      <c r="C76" s="8">
        <v>0.125</v>
      </c>
      <c r="D76" s="9" t="s">
        <v>8</v>
      </c>
      <c r="E76" s="10" t="s">
        <v>56</v>
      </c>
      <c r="F76" s="26">
        <v>4</v>
      </c>
      <c r="G76" s="26">
        <v>0</v>
      </c>
      <c r="H76" s="21" t="s">
        <v>57</v>
      </c>
      <c r="J76" s="1" t="str">
        <f>IF(OR(Resultados!F76="",Resultados!G76=""),"",IF(AND(F76=Resultados!F76,G76=Resultados!G76),2,IF(((F76&gt;G76)=(Resultados!F76&gt;Resultados!G76))*((F76&lt;G76)=(Resultados!F76&lt;Resultados!G76)),1,0)))</f>
        <v/>
      </c>
    </row>
    <row r="77" spans="1:10" ht="16.2" thickBot="1" x14ac:dyDescent="0.35">
      <c r="A77" s="85"/>
      <c r="B77" s="7">
        <v>46190</v>
      </c>
      <c r="C77" s="8">
        <v>0.25</v>
      </c>
      <c r="D77" s="9" t="s">
        <v>8</v>
      </c>
      <c r="E77" s="10" t="s">
        <v>58</v>
      </c>
      <c r="F77" s="26">
        <v>2</v>
      </c>
      <c r="G77" s="26">
        <v>0</v>
      </c>
      <c r="H77" s="21" t="s">
        <v>59</v>
      </c>
      <c r="J77" s="1" t="str">
        <f>IF(OR(Resultados!F77="",Resultados!G77=""),"",IF(AND(F77=Resultados!F77,G77=Resultados!G77),2,IF(((F77&gt;G77)=(Resultados!F77&gt;Resultados!G77))*((F77&lt;G77)=(Resultados!F77&lt;Resultados!G77)),1,0)))</f>
        <v/>
      </c>
    </row>
    <row r="78" spans="1:10" ht="16.2" thickBot="1" x14ac:dyDescent="0.35">
      <c r="A78" s="85"/>
      <c r="B78" s="7">
        <v>46195</v>
      </c>
      <c r="C78" s="8">
        <v>0.79166666666666663</v>
      </c>
      <c r="D78" s="9" t="s">
        <v>13</v>
      </c>
      <c r="E78" s="10" t="s">
        <v>56</v>
      </c>
      <c r="F78" s="25">
        <v>2</v>
      </c>
      <c r="G78" s="25">
        <v>0</v>
      </c>
      <c r="H78" s="21" t="s">
        <v>58</v>
      </c>
      <c r="J78" s="1" t="str">
        <f>IF(OR(Resultados!F78="",Resultados!G78=""),"",IF(AND(F78=Resultados!F78,G78=Resultados!G78),2,IF(((F78&gt;G78)=(Resultados!F78&gt;Resultados!G78))*((F78&lt;G78)=(Resultados!F78&lt;Resultados!G78)),1,0)))</f>
        <v/>
      </c>
    </row>
    <row r="79" spans="1:10" ht="16.2" thickBot="1" x14ac:dyDescent="0.35">
      <c r="A79" s="85"/>
      <c r="B79" s="7">
        <v>46196</v>
      </c>
      <c r="C79" s="8">
        <v>0.20833333333333334</v>
      </c>
      <c r="D79" s="9" t="s">
        <v>13</v>
      </c>
      <c r="E79" s="10" t="s">
        <v>59</v>
      </c>
      <c r="F79" s="25">
        <v>2</v>
      </c>
      <c r="G79" s="25">
        <v>1</v>
      </c>
      <c r="H79" s="21" t="s">
        <v>57</v>
      </c>
      <c r="J79" s="1" t="str">
        <f>IF(OR(Resultados!F79="",Resultados!G79=""),"",IF(AND(F79=Resultados!F79,G79=Resultados!G79),2,IF(((F79&gt;G79)=(Resultados!F79&gt;Resultados!G79))*((F79&lt;G79)=(Resultados!F79&lt;Resultados!G79)),1,0)))</f>
        <v/>
      </c>
    </row>
    <row r="80" spans="1:10" ht="16.2" thickBot="1" x14ac:dyDescent="0.35">
      <c r="A80" s="85"/>
      <c r="B80" s="7">
        <v>46201</v>
      </c>
      <c r="C80" s="8">
        <v>0.16666666666666666</v>
      </c>
      <c r="D80" s="9" t="s">
        <v>14</v>
      </c>
      <c r="E80" s="10" t="s">
        <v>57</v>
      </c>
      <c r="F80" s="25">
        <v>1</v>
      </c>
      <c r="G80" s="25">
        <v>3</v>
      </c>
      <c r="H80" s="21" t="s">
        <v>58</v>
      </c>
      <c r="J80" s="1" t="str">
        <f>IF(OR(Resultados!F80="",Resultados!G80=""),"",IF(AND(F80=Resultados!F80,G80=Resultados!G80),2,IF(((F80&gt;G80)=(Resultados!F80&gt;Resultados!G80))*((F80&lt;G80)=(Resultados!F80&lt;Resultados!G80)),1,0)))</f>
        <v/>
      </c>
    </row>
    <row r="81" spans="1:10" ht="16.2" thickBot="1" x14ac:dyDescent="0.35">
      <c r="A81" s="86"/>
      <c r="B81" s="12">
        <v>46201</v>
      </c>
      <c r="C81" s="13">
        <v>0.16666666666666666</v>
      </c>
      <c r="D81" s="14" t="s">
        <v>14</v>
      </c>
      <c r="E81" s="15" t="s">
        <v>59</v>
      </c>
      <c r="F81" s="25">
        <v>0</v>
      </c>
      <c r="G81" s="25">
        <v>4</v>
      </c>
      <c r="H81" s="21" t="s">
        <v>56</v>
      </c>
      <c r="J81" s="1" t="str">
        <f>IF(OR(Resultados!F81="",Resultados!G81=""),"",IF(AND(F81=Resultados!F81,G81=Resultados!G81),2,IF(((F81&gt;G81)=(Resultados!F81&gt;Resultados!G81))*((F81&lt;G81)=(Resultados!F81&lt;Resultados!G81)),1,0)))</f>
        <v/>
      </c>
    </row>
    <row r="82" spans="1:10" ht="14.4" customHeight="1" thickBot="1" x14ac:dyDescent="0.35">
      <c r="A82" s="19"/>
      <c r="B82" s="19"/>
      <c r="C82" s="19"/>
      <c r="D82" s="19"/>
      <c r="E82" s="19"/>
      <c r="F82" s="19"/>
      <c r="G82" s="19"/>
      <c r="H82" s="24"/>
    </row>
    <row r="83" spans="1:10" ht="16.2" thickBot="1" x14ac:dyDescent="0.35">
      <c r="A83" s="16"/>
      <c r="B83" s="4" t="s">
        <v>1</v>
      </c>
      <c r="C83" s="4" t="s">
        <v>2</v>
      </c>
      <c r="D83" s="4" t="s">
        <v>3</v>
      </c>
      <c r="E83" s="5" t="s">
        <v>4</v>
      </c>
      <c r="F83" s="6" t="s">
        <v>5</v>
      </c>
      <c r="G83" s="6" t="s">
        <v>5</v>
      </c>
      <c r="H83" s="23" t="s">
        <v>6</v>
      </c>
    </row>
    <row r="84" spans="1:10" ht="16.2" thickBot="1" x14ac:dyDescent="0.35">
      <c r="A84" s="87" t="s">
        <v>60</v>
      </c>
      <c r="B84" s="7">
        <v>46190</v>
      </c>
      <c r="C84" s="8">
        <v>0.79166666666666663</v>
      </c>
      <c r="D84" s="9" t="s">
        <v>8</v>
      </c>
      <c r="E84" s="10" t="s">
        <v>61</v>
      </c>
      <c r="F84" s="26">
        <v>4</v>
      </c>
      <c r="G84" s="26">
        <v>0</v>
      </c>
      <c r="H84" s="21" t="s">
        <v>62</v>
      </c>
      <c r="J84" s="1" t="str">
        <f>IF(OR(Resultados!F84="",Resultados!G84=""),"",IF(AND(F84=Resultados!F84,G84=Resultados!G84),2,IF(((F84&gt;G84)=(Resultados!F84&gt;Resultados!G84))*((F84&lt;G84)=(Resultados!F84&lt;Resultados!G84)),1,0)))</f>
        <v/>
      </c>
    </row>
    <row r="85" spans="1:10" ht="16.2" thickBot="1" x14ac:dyDescent="0.35">
      <c r="A85" s="88"/>
      <c r="B85" s="7">
        <v>46191</v>
      </c>
      <c r="C85" s="8">
        <v>0.16666666666666666</v>
      </c>
      <c r="D85" s="9" t="s">
        <v>8</v>
      </c>
      <c r="E85" s="10" t="s">
        <v>63</v>
      </c>
      <c r="F85" s="26">
        <v>1</v>
      </c>
      <c r="G85" s="26">
        <v>3</v>
      </c>
      <c r="H85" s="21" t="s">
        <v>64</v>
      </c>
      <c r="J85" s="1" t="str">
        <f>IF(OR(Resultados!F85="",Resultados!G85=""),"",IF(AND(F85=Resultados!F85,G85=Resultados!G85),2,IF(((F85&gt;G85)=(Resultados!F85&gt;Resultados!G85))*((F85&lt;G85)=(Resultados!F85&lt;Resultados!G85)),1,0)))</f>
        <v/>
      </c>
    </row>
    <row r="86" spans="1:10" ht="16.2" thickBot="1" x14ac:dyDescent="0.35">
      <c r="A86" s="88"/>
      <c r="B86" s="7">
        <v>46196</v>
      </c>
      <c r="C86" s="8">
        <v>0.79166666666666663</v>
      </c>
      <c r="D86" s="9" t="s">
        <v>13</v>
      </c>
      <c r="E86" s="10" t="s">
        <v>61</v>
      </c>
      <c r="F86" s="25">
        <v>4</v>
      </c>
      <c r="G86" s="25">
        <v>0</v>
      </c>
      <c r="H86" s="21" t="s">
        <v>63</v>
      </c>
      <c r="J86" s="1" t="str">
        <f>IF(OR(Resultados!F86="",Resultados!G86=""),"",IF(AND(F86=Resultados!F86,G86=Resultados!G86),2,IF(((F86&gt;G86)=(Resultados!F86&gt;Resultados!G86))*((F86&lt;G86)=(Resultados!F86&lt;Resultados!G86)),1,0)))</f>
        <v/>
      </c>
    </row>
    <row r="87" spans="1:10" ht="16.2" thickBot="1" x14ac:dyDescent="0.35">
      <c r="A87" s="88"/>
      <c r="B87" s="7">
        <v>46197</v>
      </c>
      <c r="C87" s="8">
        <v>0.16666666666666666</v>
      </c>
      <c r="D87" s="9" t="s">
        <v>13</v>
      </c>
      <c r="E87" s="10" t="s">
        <v>64</v>
      </c>
      <c r="F87" s="25">
        <v>2</v>
      </c>
      <c r="G87" s="25">
        <v>0</v>
      </c>
      <c r="H87" s="21" t="s">
        <v>62</v>
      </c>
      <c r="J87" s="1" t="str">
        <f>IF(OR(Resultados!F87="",Resultados!G87=""),"",IF(AND(F87=Resultados!F87,G87=Resultados!G87),2,IF(((F87&gt;G87)=(Resultados!F87&gt;Resultados!G87))*((F87&lt;G87)=(Resultados!F87&lt;Resultados!G87)),1,0)))</f>
        <v/>
      </c>
    </row>
    <row r="88" spans="1:10" ht="16.2" thickBot="1" x14ac:dyDescent="0.35">
      <c r="A88" s="88"/>
      <c r="B88" s="7">
        <v>46201</v>
      </c>
      <c r="C88" s="8">
        <v>6.25E-2</v>
      </c>
      <c r="D88" s="9" t="s">
        <v>14</v>
      </c>
      <c r="E88" s="10" t="s">
        <v>64</v>
      </c>
      <c r="F88" s="25">
        <v>2</v>
      </c>
      <c r="G88" s="25">
        <v>3</v>
      </c>
      <c r="H88" s="21" t="s">
        <v>61</v>
      </c>
      <c r="J88" s="1" t="str">
        <f>IF(OR(Resultados!F88="",Resultados!G88=""),"",IF(AND(F88=Resultados!F88,G88=Resultados!G88),2,IF(((F88&gt;G88)=(Resultados!F88&gt;Resultados!G88))*((F88&lt;G88)=(Resultados!F88&lt;Resultados!G88)),1,0)))</f>
        <v/>
      </c>
    </row>
    <row r="89" spans="1:10" ht="16.2" thickBot="1" x14ac:dyDescent="0.35">
      <c r="A89" s="89"/>
      <c r="B89" s="12">
        <v>46201</v>
      </c>
      <c r="C89" s="13">
        <v>6.25E-2</v>
      </c>
      <c r="D89" s="14" t="s">
        <v>14</v>
      </c>
      <c r="E89" s="15" t="s">
        <v>62</v>
      </c>
      <c r="F89" s="25">
        <v>1</v>
      </c>
      <c r="G89" s="25">
        <v>2</v>
      </c>
      <c r="H89" s="21" t="s">
        <v>63</v>
      </c>
      <c r="J89" s="1" t="str">
        <f>IF(OR(Resultados!F89="",Resultados!G89=""),"",IF(AND(F89=Resultados!F89,G89=Resultados!G89),2,IF(((F89&gt;G89)=(Resultados!F89&gt;Resultados!G89))*((F89&lt;G89)=(Resultados!F89&lt;Resultados!G89)),1,0)))</f>
        <v/>
      </c>
    </row>
    <row r="90" spans="1:10" ht="16.2" thickBot="1" x14ac:dyDescent="0.35">
      <c r="A90" s="17"/>
      <c r="B90" s="18"/>
      <c r="C90" s="18"/>
      <c r="D90" s="18"/>
      <c r="E90" s="18"/>
      <c r="F90" s="18"/>
      <c r="G90" s="18"/>
      <c r="H90" s="22"/>
    </row>
    <row r="91" spans="1:10" ht="16.2" thickBot="1" x14ac:dyDescent="0.35">
      <c r="A91" s="16"/>
      <c r="B91" s="4" t="s">
        <v>1</v>
      </c>
      <c r="C91" s="4" t="s">
        <v>2</v>
      </c>
      <c r="D91" s="4" t="s">
        <v>3</v>
      </c>
      <c r="E91" s="5" t="s">
        <v>4</v>
      </c>
      <c r="F91" s="6" t="s">
        <v>5</v>
      </c>
      <c r="G91" s="6" t="s">
        <v>5</v>
      </c>
      <c r="H91" s="23" t="s">
        <v>6</v>
      </c>
    </row>
    <row r="92" spans="1:10" ht="16.2" thickBot="1" x14ac:dyDescent="0.35">
      <c r="A92" s="69" t="s">
        <v>65</v>
      </c>
      <c r="B92" s="7">
        <v>46190</v>
      </c>
      <c r="C92" s="8">
        <v>0.91666666666666663</v>
      </c>
      <c r="D92" s="9" t="s">
        <v>8</v>
      </c>
      <c r="E92" s="10" t="s">
        <v>66</v>
      </c>
      <c r="F92" s="26">
        <v>2</v>
      </c>
      <c r="G92" s="26">
        <v>1</v>
      </c>
      <c r="H92" s="21" t="s">
        <v>67</v>
      </c>
      <c r="J92" s="1" t="str">
        <f>IF(OR(Resultados!F92="",Resultados!G92=""),"",IF(AND(F92=Resultados!F92,G92=Resultados!G92),2,IF(((F92&gt;G92)=(Resultados!F92&gt;Resultados!G92))*((F92&lt;G92)=(Resultados!F92&lt;Resultados!G92)),1,0)))</f>
        <v/>
      </c>
    </row>
    <row r="93" spans="1:10" ht="16.2" thickBot="1" x14ac:dyDescent="0.35">
      <c r="A93" s="70"/>
      <c r="B93" s="7">
        <v>46191</v>
      </c>
      <c r="C93" s="8">
        <v>4.1666666666666664E-2</v>
      </c>
      <c r="D93" s="9" t="s">
        <v>8</v>
      </c>
      <c r="E93" s="10" t="s">
        <v>68</v>
      </c>
      <c r="F93" s="26">
        <v>2</v>
      </c>
      <c r="G93" s="26">
        <v>0</v>
      </c>
      <c r="H93" s="21" t="s">
        <v>69</v>
      </c>
      <c r="J93" s="1" t="str">
        <f>IF(OR(Resultados!F93="",Resultados!G93=""),"",IF(AND(F93=Resultados!F93,G93=Resultados!G93),2,IF(((F93&gt;G93)=(Resultados!F93&gt;Resultados!G93))*((F93&lt;G93)=(Resultados!F93&lt;Resultados!G93)),1,0)))</f>
        <v/>
      </c>
    </row>
    <row r="94" spans="1:10" ht="16.2" thickBot="1" x14ac:dyDescent="0.35">
      <c r="A94" s="70"/>
      <c r="B94" s="7">
        <v>46196</v>
      </c>
      <c r="C94" s="8">
        <v>0.91666666666666663</v>
      </c>
      <c r="D94" s="9" t="s">
        <v>13</v>
      </c>
      <c r="E94" s="10" t="s">
        <v>66</v>
      </c>
      <c r="F94" s="25">
        <v>2</v>
      </c>
      <c r="G94" s="25">
        <v>0</v>
      </c>
      <c r="H94" s="21" t="s">
        <v>68</v>
      </c>
      <c r="J94" s="1" t="str">
        <f>IF(OR(Resultados!F94="",Resultados!G94=""),"",IF(AND(F94=Resultados!F94,G94=Resultados!G94),2,IF(((F94&gt;G94)=(Resultados!F94&gt;Resultados!G94))*((F94&lt;G94)=(Resultados!F94&lt;Resultados!G94)),1,0)))</f>
        <v/>
      </c>
    </row>
    <row r="95" spans="1:10" ht="16.2" thickBot="1" x14ac:dyDescent="0.35">
      <c r="A95" s="70"/>
      <c r="B95" s="7">
        <v>46197</v>
      </c>
      <c r="C95" s="8">
        <v>4.1666666666666664E-2</v>
      </c>
      <c r="D95" s="9" t="s">
        <v>13</v>
      </c>
      <c r="E95" s="10" t="s">
        <v>69</v>
      </c>
      <c r="F95" s="25">
        <v>0</v>
      </c>
      <c r="G95" s="25">
        <v>3</v>
      </c>
      <c r="H95" s="21" t="s">
        <v>67</v>
      </c>
      <c r="J95" s="1" t="str">
        <f>IF(OR(Resultados!F95="",Resultados!G95=""),"",IF(AND(F95=Resultados!F95,G95=Resultados!G95),2,IF(((F95&gt;G95)=(Resultados!F95&gt;Resultados!G95))*((F95&lt;G95)=(Resultados!F95&lt;Resultados!G95)),1,0)))</f>
        <v/>
      </c>
    </row>
    <row r="96" spans="1:10" ht="16.2" thickBot="1" x14ac:dyDescent="0.35">
      <c r="A96" s="70"/>
      <c r="B96" s="7">
        <v>46200</v>
      </c>
      <c r="C96" s="8">
        <v>0.95833333333333337</v>
      </c>
      <c r="D96" s="9" t="s">
        <v>14</v>
      </c>
      <c r="E96" s="10" t="s">
        <v>69</v>
      </c>
      <c r="F96" s="25">
        <v>0</v>
      </c>
      <c r="G96" s="25">
        <v>4</v>
      </c>
      <c r="H96" s="21" t="s">
        <v>66</v>
      </c>
      <c r="J96" s="1" t="str">
        <f>IF(OR(Resultados!F96="",Resultados!G96=""),"",IF(AND(F96=Resultados!F96,G96=Resultados!G96),2,IF(((F96&gt;G96)=(Resultados!F96&gt;Resultados!G96))*((F96&lt;G96)=(Resultados!F96&lt;Resultados!G96)),1,0)))</f>
        <v/>
      </c>
    </row>
    <row r="97" spans="1:10" ht="16.2" thickBot="1" x14ac:dyDescent="0.35">
      <c r="A97" s="71"/>
      <c r="B97" s="12">
        <v>46200</v>
      </c>
      <c r="C97" s="13">
        <v>0.95833333333333337</v>
      </c>
      <c r="D97" s="14" t="s">
        <v>14</v>
      </c>
      <c r="E97" s="15" t="s">
        <v>67</v>
      </c>
      <c r="F97" s="25">
        <v>3</v>
      </c>
      <c r="G97" s="25">
        <v>1</v>
      </c>
      <c r="H97" s="21" t="s">
        <v>68</v>
      </c>
      <c r="J97" s="1" t="str">
        <f>IF(OR(Resultados!F97="",Resultados!G97=""),"",IF(AND(F97=Resultados!F97,G97=Resultados!G97),2,IF(((F97&gt;G97)=(Resultados!F97&gt;Resultados!G97))*((F97&lt;G97)=(Resultados!F97&lt;Resultados!G97)),1,0)))</f>
        <v/>
      </c>
    </row>
  </sheetData>
  <mergeCells count="14">
    <mergeCell ref="A84:A89"/>
    <mergeCell ref="A92:A97"/>
    <mergeCell ref="A36:A41"/>
    <mergeCell ref="A44:A49"/>
    <mergeCell ref="A52:A57"/>
    <mergeCell ref="A60:A65"/>
    <mergeCell ref="A68:A73"/>
    <mergeCell ref="A76:A81"/>
    <mergeCell ref="A28:A33"/>
    <mergeCell ref="A1:H1"/>
    <mergeCell ref="A2:H2"/>
    <mergeCell ref="A4:A9"/>
    <mergeCell ref="A12:A17"/>
    <mergeCell ref="A20:A25"/>
  </mergeCells>
  <pageMargins left="0.7" right="0.7" top="0.75" bottom="0.75" header="0.3" footer="0.3"/>
  <ignoredErrors>
    <ignoredError sqref="J6:J98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696E4-2816-4C69-8FE3-C74F1B97FD90}">
  <dimension ref="A1:L97"/>
  <sheetViews>
    <sheetView topLeftCell="A32" zoomScale="115" zoomScaleNormal="115" workbookViewId="0">
      <selection activeCell="K57" sqref="K57"/>
    </sheetView>
  </sheetViews>
  <sheetFormatPr baseColWidth="10" defaultRowHeight="15.6" x14ac:dyDescent="0.3"/>
  <cols>
    <col min="1" max="1" width="7.6640625" style="1" bestFit="1" customWidth="1"/>
    <col min="2" max="2" width="11.21875" style="1" bestFit="1" customWidth="1"/>
    <col min="3" max="3" width="6" style="1" bestFit="1" customWidth="1"/>
    <col min="4" max="4" width="4.88671875" style="1" bestFit="1" customWidth="1"/>
    <col min="5" max="5" width="17.109375" style="2" bestFit="1" customWidth="1"/>
    <col min="6" max="7" width="4.5546875" style="2" bestFit="1" customWidth="1"/>
    <col min="8" max="8" width="17.109375" style="1" bestFit="1" customWidth="1"/>
    <col min="9" max="9" width="6.109375" style="1" customWidth="1"/>
    <col min="10" max="10" width="7.77734375" style="1" bestFit="1" customWidth="1"/>
    <col min="11" max="11" width="6.109375" style="1" customWidth="1"/>
    <col min="12" max="16384" width="11.5546875" style="1"/>
  </cols>
  <sheetData>
    <row r="1" spans="1:12" ht="25.8" thickBot="1" x14ac:dyDescent="0.35">
      <c r="A1" s="63" t="s">
        <v>0</v>
      </c>
      <c r="B1" s="64"/>
      <c r="C1" s="64"/>
      <c r="D1" s="64"/>
      <c r="E1" s="64"/>
      <c r="F1" s="64"/>
      <c r="G1" s="64"/>
      <c r="H1" s="65"/>
    </row>
    <row r="2" spans="1:12" ht="16.2" thickBot="1" x14ac:dyDescent="0.35">
      <c r="A2" s="66"/>
      <c r="B2" s="67"/>
      <c r="C2" s="67"/>
      <c r="D2" s="67"/>
      <c r="E2" s="67"/>
      <c r="F2" s="67"/>
      <c r="G2" s="67"/>
      <c r="H2" s="68"/>
    </row>
    <row r="3" spans="1:12" s="2" customFormat="1" ht="16.2" thickBot="1" x14ac:dyDescent="0.35">
      <c r="A3" s="3"/>
      <c r="B3" s="4" t="s">
        <v>1</v>
      </c>
      <c r="C3" s="4" t="s">
        <v>2</v>
      </c>
      <c r="D3" s="4" t="s">
        <v>3</v>
      </c>
      <c r="E3" s="5" t="s">
        <v>4</v>
      </c>
      <c r="F3" s="6" t="s">
        <v>5</v>
      </c>
      <c r="G3" s="6" t="s">
        <v>5</v>
      </c>
      <c r="H3" s="4" t="s">
        <v>6</v>
      </c>
      <c r="J3" s="30" t="s">
        <v>71</v>
      </c>
      <c r="L3" s="2" t="s">
        <v>73</v>
      </c>
    </row>
    <row r="4" spans="1:12" ht="16.2" thickBot="1" x14ac:dyDescent="0.35">
      <c r="A4" s="90" t="s">
        <v>7</v>
      </c>
      <c r="B4" s="7">
        <v>46184</v>
      </c>
      <c r="C4" s="8">
        <v>0.875</v>
      </c>
      <c r="D4" s="9" t="s">
        <v>8</v>
      </c>
      <c r="E4" s="10" t="s">
        <v>9</v>
      </c>
      <c r="F4" s="11">
        <v>2</v>
      </c>
      <c r="G4" s="11">
        <v>0</v>
      </c>
      <c r="H4" s="20" t="s">
        <v>10</v>
      </c>
      <c r="L4" s="1">
        <f>SUM(J:J)</f>
        <v>5</v>
      </c>
    </row>
    <row r="5" spans="1:12" ht="16.2" thickBot="1" x14ac:dyDescent="0.35">
      <c r="A5" s="91"/>
      <c r="B5" s="7">
        <v>46185</v>
      </c>
      <c r="C5" s="8">
        <v>0.16666666666666666</v>
      </c>
      <c r="D5" s="9" t="s">
        <v>8</v>
      </c>
      <c r="E5" s="10" t="s">
        <v>11</v>
      </c>
      <c r="F5" s="11">
        <v>2</v>
      </c>
      <c r="G5" s="11">
        <v>1</v>
      </c>
      <c r="H5" s="20" t="s">
        <v>12</v>
      </c>
    </row>
    <row r="6" spans="1:12" ht="16.2" thickBot="1" x14ac:dyDescent="0.35">
      <c r="A6" s="91"/>
      <c r="B6" s="7">
        <v>46191</v>
      </c>
      <c r="C6" s="8">
        <v>0.75</v>
      </c>
      <c r="D6" s="9" t="s">
        <v>13</v>
      </c>
      <c r="E6" s="10" t="s">
        <v>12</v>
      </c>
      <c r="F6" s="25">
        <v>3</v>
      </c>
      <c r="G6" s="25">
        <v>0</v>
      </c>
      <c r="H6" s="20" t="s">
        <v>10</v>
      </c>
      <c r="J6" s="1" t="str">
        <f>IF(OR(Resultados!F6="",Resultados!G6=""),"",IF(AND(F6=Resultados!F6,G6=Resultados!G6),2,IF(((F6&gt;G6)=(Resultados!F6&gt;Resultados!G6))*((F6&lt;G6)=(Resultados!F6&lt;Resultados!G6)),1,0)))</f>
        <v/>
      </c>
    </row>
    <row r="7" spans="1:12" ht="16.2" thickBot="1" x14ac:dyDescent="0.35">
      <c r="A7" s="91"/>
      <c r="B7" s="7">
        <v>46192</v>
      </c>
      <c r="C7" s="8">
        <v>0.125</v>
      </c>
      <c r="D7" s="9" t="s">
        <v>13</v>
      </c>
      <c r="E7" s="10" t="s">
        <v>9</v>
      </c>
      <c r="F7" s="25">
        <v>1</v>
      </c>
      <c r="G7" s="25">
        <v>1</v>
      </c>
      <c r="H7" s="20" t="s">
        <v>11</v>
      </c>
      <c r="J7" s="1" t="str">
        <f>IF(OR(Resultados!F7="",Resultados!G7=""),"",IF(AND(F7=Resultados!F7,G7=Resultados!G7),2,IF(((F7&gt;G7)=(Resultados!F7&gt;Resultados!G7))*((F7&lt;G7)=(Resultados!F7&lt;Resultados!G7)),1,0)))</f>
        <v/>
      </c>
    </row>
    <row r="8" spans="1:12" ht="16.2" thickBot="1" x14ac:dyDescent="0.35">
      <c r="A8" s="91"/>
      <c r="B8" s="7">
        <v>46198</v>
      </c>
      <c r="C8" s="8">
        <v>0.125</v>
      </c>
      <c r="D8" s="9" t="s">
        <v>14</v>
      </c>
      <c r="E8" s="10" t="s">
        <v>12</v>
      </c>
      <c r="F8" s="25">
        <v>1</v>
      </c>
      <c r="G8" s="25">
        <v>2</v>
      </c>
      <c r="H8" s="20" t="s">
        <v>9</v>
      </c>
      <c r="J8" s="1" t="str">
        <f>IF(OR(Resultados!F8="",Resultados!G8=""),"",IF(AND(F8=Resultados!F8,G8=Resultados!G8),2,IF(((F8&gt;G8)=(Resultados!F8&gt;Resultados!G8))*((F8&lt;G8)=(Resultados!F8&lt;Resultados!G8)),1,0)))</f>
        <v/>
      </c>
    </row>
    <row r="9" spans="1:12" ht="16.2" thickBot="1" x14ac:dyDescent="0.35">
      <c r="A9" s="92"/>
      <c r="B9" s="12">
        <v>46198</v>
      </c>
      <c r="C9" s="13">
        <v>0.125</v>
      </c>
      <c r="D9" s="14" t="s">
        <v>14</v>
      </c>
      <c r="E9" s="15" t="s">
        <v>10</v>
      </c>
      <c r="F9" s="25">
        <v>0</v>
      </c>
      <c r="G9" s="25">
        <v>3</v>
      </c>
      <c r="H9" s="21" t="s">
        <v>11</v>
      </c>
      <c r="J9" s="1" t="str">
        <f>IF(OR(Resultados!F9="",Resultados!G9=""),"",IF(AND(F9=Resultados!F9,G9=Resultados!G9),2,IF(((F9&gt;G9)=(Resultados!F9&gt;Resultados!G9))*((F9&lt;G9)=(Resultados!F9&lt;Resultados!G9)),1,0)))</f>
        <v/>
      </c>
    </row>
    <row r="10" spans="1:12" ht="16.2" thickBot="1" x14ac:dyDescent="0.35">
      <c r="A10" s="17"/>
      <c r="B10" s="18"/>
      <c r="C10" s="18"/>
      <c r="D10" s="18"/>
      <c r="E10" s="18"/>
      <c r="F10" s="18"/>
      <c r="G10" s="18"/>
      <c r="H10" s="22"/>
    </row>
    <row r="11" spans="1:12" ht="16.2" thickBot="1" x14ac:dyDescent="0.35">
      <c r="A11" s="16"/>
      <c r="B11" s="4" t="s">
        <v>1</v>
      </c>
      <c r="C11" s="4" t="s">
        <v>2</v>
      </c>
      <c r="D11" s="4" t="s">
        <v>3</v>
      </c>
      <c r="E11" s="5" t="s">
        <v>4</v>
      </c>
      <c r="F11" s="6" t="s">
        <v>5</v>
      </c>
      <c r="G11" s="6" t="s">
        <v>5</v>
      </c>
      <c r="H11" s="23" t="s">
        <v>6</v>
      </c>
    </row>
    <row r="12" spans="1:12" ht="16.2" thickBot="1" x14ac:dyDescent="0.35">
      <c r="A12" s="93" t="s">
        <v>15</v>
      </c>
      <c r="B12" s="7">
        <v>46185</v>
      </c>
      <c r="C12" s="8">
        <v>0.875</v>
      </c>
      <c r="D12" s="9" t="s">
        <v>8</v>
      </c>
      <c r="E12" s="10" t="s">
        <v>16</v>
      </c>
      <c r="F12" s="11">
        <v>1</v>
      </c>
      <c r="G12" s="11">
        <v>1</v>
      </c>
      <c r="H12" s="21" t="s">
        <v>17</v>
      </c>
    </row>
    <row r="13" spans="1:12" ht="16.2" thickBot="1" x14ac:dyDescent="0.35">
      <c r="A13" s="94"/>
      <c r="B13" s="7">
        <v>46186</v>
      </c>
      <c r="C13" s="8">
        <v>0.875</v>
      </c>
      <c r="D13" s="9" t="s">
        <v>8</v>
      </c>
      <c r="E13" s="10" t="s">
        <v>18</v>
      </c>
      <c r="F13" s="11">
        <v>1</v>
      </c>
      <c r="G13" s="11">
        <v>1</v>
      </c>
      <c r="H13" s="21" t="s">
        <v>19</v>
      </c>
    </row>
    <row r="14" spans="1:12" ht="16.2" thickBot="1" x14ac:dyDescent="0.35">
      <c r="A14" s="94"/>
      <c r="B14" s="7">
        <v>46191</v>
      </c>
      <c r="C14" s="8">
        <v>0.875</v>
      </c>
      <c r="D14" s="9" t="s">
        <v>13</v>
      </c>
      <c r="E14" s="10" t="s">
        <v>19</v>
      </c>
      <c r="F14" s="25">
        <v>1</v>
      </c>
      <c r="G14" s="25">
        <v>0</v>
      </c>
      <c r="H14" s="21" t="s">
        <v>17</v>
      </c>
      <c r="J14" s="1" t="str">
        <f>IF(OR(Resultados!F14="",Resultados!G14=""),"",IF(AND(F14=Resultados!F14,G14=Resultados!G14),2,IF(((F14&gt;G14)=(Resultados!F14&gt;Resultados!G14))*((F14&lt;G14)=(Resultados!F14&lt;Resultados!G14)),1,0)))</f>
        <v/>
      </c>
    </row>
    <row r="15" spans="1:12" ht="16.2" thickBot="1" x14ac:dyDescent="0.35">
      <c r="A15" s="94"/>
      <c r="B15" s="7">
        <v>46192</v>
      </c>
      <c r="C15" s="8">
        <v>0</v>
      </c>
      <c r="D15" s="9" t="s">
        <v>13</v>
      </c>
      <c r="E15" s="10" t="s">
        <v>16</v>
      </c>
      <c r="F15" s="25">
        <v>2</v>
      </c>
      <c r="G15" s="25">
        <v>1</v>
      </c>
      <c r="H15" s="21" t="s">
        <v>18</v>
      </c>
      <c r="J15" s="1" t="str">
        <f>IF(OR(Resultados!F15="",Resultados!G15=""),"",IF(AND(F15=Resultados!F15,G15=Resultados!G15),2,IF(((F15&gt;G15)=(Resultados!F15&gt;Resultados!G15))*((F15&lt;G15)=(Resultados!F15&lt;Resultados!G15)),1,0)))</f>
        <v/>
      </c>
    </row>
    <row r="16" spans="1:12" ht="16.2" thickBot="1" x14ac:dyDescent="0.35">
      <c r="A16" s="94"/>
      <c r="B16" s="7">
        <v>46197</v>
      </c>
      <c r="C16" s="8">
        <v>0.875</v>
      </c>
      <c r="D16" s="9" t="s">
        <v>14</v>
      </c>
      <c r="E16" s="10" t="s">
        <v>19</v>
      </c>
      <c r="F16" s="25">
        <v>1</v>
      </c>
      <c r="G16" s="25">
        <v>1</v>
      </c>
      <c r="H16" s="21" t="s">
        <v>16</v>
      </c>
      <c r="J16" s="1" t="str">
        <f>IF(OR(Resultados!F16="",Resultados!G16=""),"",IF(AND(F16=Resultados!F16,G16=Resultados!G16),2,IF(((F16&gt;G16)=(Resultados!F16&gt;Resultados!G16))*((F16&lt;G16)=(Resultados!F16&lt;Resultados!G16)),1,0)))</f>
        <v/>
      </c>
    </row>
    <row r="17" spans="1:10" ht="16.2" thickBot="1" x14ac:dyDescent="0.35">
      <c r="A17" s="95"/>
      <c r="B17" s="12">
        <v>46197</v>
      </c>
      <c r="C17" s="13">
        <v>0.875</v>
      </c>
      <c r="D17" s="14" t="s">
        <v>14</v>
      </c>
      <c r="E17" s="15" t="s">
        <v>17</v>
      </c>
      <c r="F17" s="25">
        <v>1</v>
      </c>
      <c r="G17" s="25">
        <v>0</v>
      </c>
      <c r="H17" s="21" t="s">
        <v>18</v>
      </c>
      <c r="J17" s="1" t="str">
        <f>IF(OR(Resultados!F17="",Resultados!G17=""),"",IF(AND(F17=Resultados!F17,G17=Resultados!G17),2,IF(((F17&gt;G17)=(Resultados!F17&gt;Resultados!G17))*((F17&lt;G17)=(Resultados!F17&lt;Resultados!G17)),1,0)))</f>
        <v/>
      </c>
    </row>
    <row r="18" spans="1:10" ht="16.2" thickBot="1" x14ac:dyDescent="0.35">
      <c r="A18" s="17"/>
      <c r="B18" s="18"/>
      <c r="C18" s="18"/>
      <c r="D18" s="18"/>
      <c r="E18" s="18"/>
      <c r="F18" s="18"/>
      <c r="G18" s="18"/>
      <c r="H18" s="22"/>
    </row>
    <row r="19" spans="1:10" ht="16.2" thickBot="1" x14ac:dyDescent="0.35">
      <c r="A19" s="16"/>
      <c r="B19" s="4" t="s">
        <v>1</v>
      </c>
      <c r="C19" s="4" t="s">
        <v>2</v>
      </c>
      <c r="D19" s="4" t="s">
        <v>3</v>
      </c>
      <c r="E19" s="5" t="s">
        <v>4</v>
      </c>
      <c r="F19" s="6" t="s">
        <v>5</v>
      </c>
      <c r="G19" s="6" t="s">
        <v>5</v>
      </c>
      <c r="H19" s="23" t="s">
        <v>6</v>
      </c>
    </row>
    <row r="20" spans="1:10" ht="16.2" thickBot="1" x14ac:dyDescent="0.35">
      <c r="A20" s="96" t="s">
        <v>20</v>
      </c>
      <c r="B20" s="7">
        <v>46187</v>
      </c>
      <c r="C20" s="8">
        <v>0</v>
      </c>
      <c r="D20" s="9" t="s">
        <v>8</v>
      </c>
      <c r="E20" s="10" t="s">
        <v>21</v>
      </c>
      <c r="F20" s="11">
        <v>1</v>
      </c>
      <c r="G20" s="11">
        <v>1</v>
      </c>
      <c r="H20" s="21" t="s">
        <v>22</v>
      </c>
    </row>
    <row r="21" spans="1:10" ht="16.2" thickBot="1" x14ac:dyDescent="0.35">
      <c r="A21" s="97"/>
      <c r="B21" s="7">
        <v>46187</v>
      </c>
      <c r="C21" s="8">
        <v>0.125</v>
      </c>
      <c r="D21" s="9" t="s">
        <v>8</v>
      </c>
      <c r="E21" s="10" t="s">
        <v>23</v>
      </c>
      <c r="F21" s="26">
        <v>1</v>
      </c>
      <c r="G21" s="26">
        <v>3</v>
      </c>
      <c r="H21" s="21" t="s">
        <v>24</v>
      </c>
      <c r="J21" s="1">
        <f>IF(OR(Resultados!F21="",Resultados!G21=""),"",IF(AND(F21=Resultados!F21,G21=Resultados!G21),2,IF(((F21&gt;G21)=(Resultados!F21&gt;Resultados!G21))*((F21&lt;G21)=(Resultados!F21&lt;Resultados!G21)),1,0)))</f>
        <v>1</v>
      </c>
    </row>
    <row r="22" spans="1:10" ht="16.2" thickBot="1" x14ac:dyDescent="0.35">
      <c r="A22" s="97"/>
      <c r="B22" s="7">
        <v>46193</v>
      </c>
      <c r="C22" s="8">
        <v>0</v>
      </c>
      <c r="D22" s="9" t="s">
        <v>13</v>
      </c>
      <c r="E22" s="10" t="s">
        <v>24</v>
      </c>
      <c r="F22" s="25">
        <v>1</v>
      </c>
      <c r="G22" s="25">
        <v>2</v>
      </c>
      <c r="H22" s="21" t="s">
        <v>22</v>
      </c>
      <c r="J22" s="1" t="str">
        <f>IF(OR(Resultados!F22="",Resultados!G22=""),"",IF(AND(F22=Resultados!F22,G22=Resultados!G22),2,IF(((F22&gt;G22)=(Resultados!F22&gt;Resultados!G22))*((F22&lt;G22)=(Resultados!F22&lt;Resultados!G22)),1,0)))</f>
        <v/>
      </c>
    </row>
    <row r="23" spans="1:10" ht="16.2" thickBot="1" x14ac:dyDescent="0.35">
      <c r="A23" s="97"/>
      <c r="B23" s="7">
        <v>46193</v>
      </c>
      <c r="C23" s="8">
        <v>0.10416666666666667</v>
      </c>
      <c r="D23" s="9" t="s">
        <v>13</v>
      </c>
      <c r="E23" s="10" t="s">
        <v>21</v>
      </c>
      <c r="F23" s="25">
        <v>3</v>
      </c>
      <c r="G23" s="25">
        <v>0</v>
      </c>
      <c r="H23" s="21" t="s">
        <v>23</v>
      </c>
      <c r="J23" s="1" t="str">
        <f>IF(OR(Resultados!F23="",Resultados!G23=""),"",IF(AND(F23=Resultados!F23,G23=Resultados!G23),2,IF(((F23&gt;G23)=(Resultados!F23&gt;Resultados!G23))*((F23&lt;G23)=(Resultados!F23&lt;Resultados!G23)),1,0)))</f>
        <v/>
      </c>
    </row>
    <row r="24" spans="1:10" ht="16.2" thickBot="1" x14ac:dyDescent="0.35">
      <c r="A24" s="97"/>
      <c r="B24" s="7">
        <v>46198</v>
      </c>
      <c r="C24" s="8">
        <v>0</v>
      </c>
      <c r="D24" s="9" t="s">
        <v>14</v>
      </c>
      <c r="E24" s="10" t="s">
        <v>24</v>
      </c>
      <c r="F24" s="25">
        <v>1</v>
      </c>
      <c r="G24" s="25">
        <v>2</v>
      </c>
      <c r="H24" s="21" t="s">
        <v>21</v>
      </c>
      <c r="J24" s="1" t="str">
        <f>IF(OR(Resultados!F24="",Resultados!G24=""),"",IF(AND(F24=Resultados!F24,G24=Resultados!G24),2,IF(((F24&gt;G24)=(Resultados!F24&gt;Resultados!G24))*((F24&lt;G24)=(Resultados!F24&lt;Resultados!G24)),1,0)))</f>
        <v/>
      </c>
    </row>
    <row r="25" spans="1:10" ht="16.2" thickBot="1" x14ac:dyDescent="0.35">
      <c r="A25" s="98"/>
      <c r="B25" s="12">
        <v>46198</v>
      </c>
      <c r="C25" s="13">
        <v>0</v>
      </c>
      <c r="D25" s="14" t="s">
        <v>14</v>
      </c>
      <c r="E25" s="15" t="s">
        <v>22</v>
      </c>
      <c r="F25" s="25">
        <v>3</v>
      </c>
      <c r="G25" s="25">
        <v>0</v>
      </c>
      <c r="H25" s="21" t="s">
        <v>23</v>
      </c>
      <c r="J25" s="1" t="str">
        <f>IF(OR(Resultados!F25="",Resultados!G25=""),"",IF(AND(F25=Resultados!F25,G25=Resultados!G25),2,IF(((F25&gt;G25)=(Resultados!F25&gt;Resultados!G25))*((F25&lt;G25)=(Resultados!F25&lt;Resultados!G25)),1,0)))</f>
        <v/>
      </c>
    </row>
    <row r="26" spans="1:10" ht="16.2" thickBot="1" x14ac:dyDescent="0.35">
      <c r="A26" s="19"/>
      <c r="B26" s="19"/>
      <c r="C26" s="19"/>
      <c r="D26" s="19"/>
      <c r="E26" s="19"/>
      <c r="F26" s="19"/>
      <c r="G26" s="19"/>
      <c r="H26" s="24"/>
    </row>
    <row r="27" spans="1:10" ht="16.2" thickBot="1" x14ac:dyDescent="0.35">
      <c r="A27" s="16"/>
      <c r="B27" s="4" t="s">
        <v>1</v>
      </c>
      <c r="C27" s="4" t="s">
        <v>2</v>
      </c>
      <c r="D27" s="4" t="s">
        <v>3</v>
      </c>
      <c r="E27" s="5" t="s">
        <v>4</v>
      </c>
      <c r="F27" s="6" t="s">
        <v>5</v>
      </c>
      <c r="G27" s="6" t="s">
        <v>5</v>
      </c>
      <c r="H27" s="23" t="s">
        <v>6</v>
      </c>
    </row>
    <row r="28" spans="1:10" ht="16.2" thickBot="1" x14ac:dyDescent="0.35">
      <c r="A28" s="99" t="s">
        <v>25</v>
      </c>
      <c r="B28" s="7">
        <v>46186</v>
      </c>
      <c r="C28" s="8">
        <v>0.125</v>
      </c>
      <c r="D28" s="9" t="s">
        <v>8</v>
      </c>
      <c r="E28" s="10" t="s">
        <v>26</v>
      </c>
      <c r="F28" s="11">
        <v>4</v>
      </c>
      <c r="G28" s="11">
        <v>1</v>
      </c>
      <c r="H28" s="21" t="s">
        <v>27</v>
      </c>
    </row>
    <row r="29" spans="1:10" ht="16.2" thickBot="1" x14ac:dyDescent="0.35">
      <c r="A29" s="100"/>
      <c r="B29" s="7">
        <v>46187</v>
      </c>
      <c r="C29" s="8">
        <v>0.25</v>
      </c>
      <c r="D29" s="9" t="s">
        <v>8</v>
      </c>
      <c r="E29" s="10" t="s">
        <v>28</v>
      </c>
      <c r="F29" s="26">
        <v>0</v>
      </c>
      <c r="G29" s="26">
        <v>2</v>
      </c>
      <c r="H29" s="21" t="s">
        <v>29</v>
      </c>
      <c r="J29" s="1">
        <f>IF(OR(Resultados!F29="",Resultados!G29=""),"",IF(AND(F29=Resultados!F29,G29=Resultados!G29),2,IF(((F29&gt;G29)=(Resultados!F29&gt;Resultados!G29))*((F29&lt;G29)=(Resultados!F29&lt;Resultados!G29)),1,0)))</f>
        <v>0</v>
      </c>
    </row>
    <row r="30" spans="1:10" ht="16.2" thickBot="1" x14ac:dyDescent="0.35">
      <c r="A30" s="100"/>
      <c r="B30" s="7">
        <v>46192</v>
      </c>
      <c r="C30" s="8">
        <v>0.875</v>
      </c>
      <c r="D30" s="9" t="s">
        <v>13</v>
      </c>
      <c r="E30" s="10" t="s">
        <v>26</v>
      </c>
      <c r="F30" s="25">
        <v>2</v>
      </c>
      <c r="G30" s="25">
        <v>0</v>
      </c>
      <c r="H30" s="21" t="s">
        <v>28</v>
      </c>
      <c r="J30" s="1" t="str">
        <f>IF(OR(Resultados!F30="",Resultados!G30=""),"",IF(AND(F30=Resultados!F30,G30=Resultados!G30),2,IF(((F30&gt;G30)=(Resultados!F30&gt;Resultados!G30))*((F30&lt;G30)=(Resultados!F30&lt;Resultados!G30)),1,0)))</f>
        <v/>
      </c>
    </row>
    <row r="31" spans="1:10" ht="16.2" thickBot="1" x14ac:dyDescent="0.35">
      <c r="A31" s="100"/>
      <c r="B31" s="7">
        <v>46193</v>
      </c>
      <c r="C31" s="8">
        <v>0.20833333333333334</v>
      </c>
      <c r="D31" s="9" t="s">
        <v>13</v>
      </c>
      <c r="E31" s="10" t="s">
        <v>29</v>
      </c>
      <c r="F31" s="25">
        <v>1</v>
      </c>
      <c r="G31" s="25">
        <v>1</v>
      </c>
      <c r="H31" s="21" t="s">
        <v>27</v>
      </c>
      <c r="J31" s="1" t="str">
        <f>IF(OR(Resultados!F31="",Resultados!G31=""),"",IF(AND(F31=Resultados!F31,G31=Resultados!G31),2,IF(((F31&gt;G31)=(Resultados!F31&gt;Resultados!G31))*((F31&lt;G31)=(Resultados!F31&lt;Resultados!G31)),1,0)))</f>
        <v/>
      </c>
    </row>
    <row r="32" spans="1:10" ht="16.2" thickBot="1" x14ac:dyDescent="0.35">
      <c r="A32" s="100"/>
      <c r="B32" s="7">
        <v>46199</v>
      </c>
      <c r="C32" s="8">
        <v>0.16666666666666666</v>
      </c>
      <c r="D32" s="9" t="s">
        <v>14</v>
      </c>
      <c r="E32" s="10" t="s">
        <v>29</v>
      </c>
      <c r="F32" s="25"/>
      <c r="G32" s="25"/>
      <c r="H32" s="21" t="s">
        <v>26</v>
      </c>
      <c r="J32" s="1" t="str">
        <f>IF(OR(Resultados!F32="",Resultados!G32=""),"",IF(AND(F32=Resultados!F32,G32=Resultados!G32),2,IF(((F32&gt;G32)=(Resultados!F32&gt;Resultados!G32))*((F32&lt;G32)=(Resultados!F32&lt;Resultados!G32)),1,0)))</f>
        <v/>
      </c>
    </row>
    <row r="33" spans="1:10" ht="16.2" thickBot="1" x14ac:dyDescent="0.35">
      <c r="A33" s="101"/>
      <c r="B33" s="12">
        <v>46199</v>
      </c>
      <c r="C33" s="13">
        <v>0.16666666666666666</v>
      </c>
      <c r="D33" s="14" t="s">
        <v>14</v>
      </c>
      <c r="E33" s="15" t="s">
        <v>27</v>
      </c>
      <c r="F33" s="25"/>
      <c r="G33" s="25"/>
      <c r="H33" s="21" t="s">
        <v>28</v>
      </c>
      <c r="J33" s="1" t="str">
        <f>IF(OR(Resultados!F33="",Resultados!G33=""),"",IF(AND(F33=Resultados!F33,G33=Resultados!G33),2,IF(((F33&gt;G33)=(Resultados!F33&gt;Resultados!G33))*((F33&lt;G33)=(Resultados!F33&lt;Resultados!G33)),1,0)))</f>
        <v/>
      </c>
    </row>
    <row r="34" spans="1:10" ht="16.2" thickBot="1" x14ac:dyDescent="0.35">
      <c r="A34" s="17"/>
      <c r="B34" s="18"/>
      <c r="C34" s="18"/>
      <c r="D34" s="18"/>
      <c r="E34" s="18"/>
      <c r="F34" s="18"/>
      <c r="G34" s="18"/>
      <c r="H34" s="22"/>
    </row>
    <row r="35" spans="1:10" ht="16.2" thickBot="1" x14ac:dyDescent="0.35">
      <c r="A35" s="16"/>
      <c r="B35" s="4" t="s">
        <v>1</v>
      </c>
      <c r="C35" s="4" t="s">
        <v>2</v>
      </c>
      <c r="D35" s="4" t="s">
        <v>3</v>
      </c>
      <c r="E35" s="5" t="s">
        <v>4</v>
      </c>
      <c r="F35" s="6" t="s">
        <v>5</v>
      </c>
      <c r="G35" s="6" t="s">
        <v>5</v>
      </c>
      <c r="H35" s="23" t="s">
        <v>6</v>
      </c>
    </row>
    <row r="36" spans="1:10" ht="16.2" thickBot="1" x14ac:dyDescent="0.35">
      <c r="A36" s="102" t="s">
        <v>30</v>
      </c>
      <c r="B36" s="7">
        <v>46187</v>
      </c>
      <c r="C36" s="8">
        <v>0.79166666666666663</v>
      </c>
      <c r="D36" s="9" t="s">
        <v>8</v>
      </c>
      <c r="E36" s="10" t="s">
        <v>31</v>
      </c>
      <c r="F36" s="26">
        <v>3</v>
      </c>
      <c r="G36" s="26">
        <v>0</v>
      </c>
      <c r="H36" s="21" t="s">
        <v>32</v>
      </c>
      <c r="J36" s="1">
        <f>IF(OR(Resultados!F36="",Resultados!G36=""),"",IF(AND(F36=Resultados!F36,G36=Resultados!G36),2,IF(((F36&gt;G36)=(Resultados!F36&gt;Resultados!G36))*((F36&lt;G36)=(Resultados!F36&lt;Resultados!G36)),1,0)))</f>
        <v>1</v>
      </c>
    </row>
    <row r="37" spans="1:10" ht="16.2" thickBot="1" x14ac:dyDescent="0.35">
      <c r="A37" s="103"/>
      <c r="B37" s="7">
        <v>46188</v>
      </c>
      <c r="C37" s="8">
        <v>4.1666666666666664E-2</v>
      </c>
      <c r="D37" s="9" t="s">
        <v>8</v>
      </c>
      <c r="E37" s="10" t="s">
        <v>33</v>
      </c>
      <c r="F37" s="26">
        <v>2</v>
      </c>
      <c r="G37" s="26">
        <v>2</v>
      </c>
      <c r="H37" s="21" t="s">
        <v>34</v>
      </c>
      <c r="J37" s="1">
        <f>IF(OR(Resultados!F37="",Resultados!G37=""),"",IF(AND(F37=Resultados!F37,G37=Resultados!G37),2,IF(((F37&gt;G37)=(Resultados!F37&gt;Resultados!G37))*((F37&lt;G37)=(Resultados!F37&lt;Resultados!G37)),1,0)))</f>
        <v>0</v>
      </c>
    </row>
    <row r="38" spans="1:10" ht="16.2" thickBot="1" x14ac:dyDescent="0.35">
      <c r="A38" s="103"/>
      <c r="B38" s="7">
        <v>46193</v>
      </c>
      <c r="C38" s="8">
        <v>0.91666666666666663</v>
      </c>
      <c r="D38" s="9" t="s">
        <v>13</v>
      </c>
      <c r="E38" s="10" t="s">
        <v>31</v>
      </c>
      <c r="F38" s="25"/>
      <c r="G38" s="25"/>
      <c r="H38" s="21" t="s">
        <v>33</v>
      </c>
      <c r="J38" s="1" t="str">
        <f>IF(OR(Resultados!F38="",Resultados!G38=""),"",IF(AND(F38=Resultados!F38,G38=Resultados!G38),2,IF(((F38&gt;G38)=(Resultados!F38&gt;Resultados!G38))*((F38&lt;G38)=(Resultados!F38&lt;Resultados!G38)),1,0)))</f>
        <v/>
      </c>
    </row>
    <row r="39" spans="1:10" ht="16.2" thickBot="1" x14ac:dyDescent="0.35">
      <c r="A39" s="103"/>
      <c r="B39" s="7">
        <v>46194</v>
      </c>
      <c r="C39" s="8">
        <v>8.3333333333333329E-2</v>
      </c>
      <c r="D39" s="9" t="s">
        <v>13</v>
      </c>
      <c r="E39" s="10" t="s">
        <v>34</v>
      </c>
      <c r="F39" s="25"/>
      <c r="G39" s="25"/>
      <c r="H39" s="21" t="s">
        <v>32</v>
      </c>
      <c r="J39" s="1" t="str">
        <f>IF(OR(Resultados!F39="",Resultados!G39=""),"",IF(AND(F39=Resultados!F39,G39=Resultados!G39),2,IF(((F39&gt;G39)=(Resultados!F39&gt;Resultados!G39))*((F39&lt;G39)=(Resultados!F39&lt;Resultados!G39)),1,0)))</f>
        <v/>
      </c>
    </row>
    <row r="40" spans="1:10" ht="16.2" thickBot="1" x14ac:dyDescent="0.35">
      <c r="A40" s="103"/>
      <c r="B40" s="7">
        <v>46198</v>
      </c>
      <c r="C40" s="8">
        <v>0.91666666666666663</v>
      </c>
      <c r="D40" s="9" t="s">
        <v>14</v>
      </c>
      <c r="E40" s="10" t="s">
        <v>32</v>
      </c>
      <c r="F40" s="25"/>
      <c r="G40" s="25"/>
      <c r="H40" s="21" t="s">
        <v>33</v>
      </c>
      <c r="J40" s="1" t="str">
        <f>IF(OR(Resultados!F40="",Resultados!G40=""),"",IF(AND(F40=Resultados!F40,G40=Resultados!G40),2,IF(((F40&gt;G40)=(Resultados!F40&gt;Resultados!G40))*((F40&lt;G40)=(Resultados!F40&lt;Resultados!G40)),1,0)))</f>
        <v/>
      </c>
    </row>
    <row r="41" spans="1:10" ht="16.2" thickBot="1" x14ac:dyDescent="0.35">
      <c r="A41" s="104"/>
      <c r="B41" s="12">
        <v>46198</v>
      </c>
      <c r="C41" s="13">
        <v>0.91666666666666663</v>
      </c>
      <c r="D41" s="14" t="s">
        <v>14</v>
      </c>
      <c r="E41" s="15" t="s">
        <v>34</v>
      </c>
      <c r="F41" s="25"/>
      <c r="G41" s="25"/>
      <c r="H41" s="21" t="s">
        <v>31</v>
      </c>
      <c r="J41" s="1" t="str">
        <f>IF(OR(Resultados!F41="",Resultados!G41=""),"",IF(AND(F41=Resultados!F41,G41=Resultados!G41),2,IF(((F41&gt;G41)=(Resultados!F41&gt;Resultados!G41))*((F41&lt;G41)=(Resultados!F41&lt;Resultados!G41)),1,0)))</f>
        <v/>
      </c>
    </row>
    <row r="42" spans="1:10" ht="16.2" thickBot="1" x14ac:dyDescent="0.35">
      <c r="A42" s="17"/>
      <c r="B42" s="18"/>
      <c r="C42" s="18"/>
      <c r="D42" s="18"/>
      <c r="E42" s="18"/>
      <c r="F42" s="18"/>
      <c r="G42" s="18"/>
      <c r="H42" s="22"/>
    </row>
    <row r="43" spans="1:10" ht="16.2" thickBot="1" x14ac:dyDescent="0.35">
      <c r="A43" s="16"/>
      <c r="B43" s="4" t="s">
        <v>1</v>
      </c>
      <c r="C43" s="4" t="s">
        <v>2</v>
      </c>
      <c r="D43" s="4" t="s">
        <v>3</v>
      </c>
      <c r="E43" s="5" t="s">
        <v>4</v>
      </c>
      <c r="F43" s="6" t="s">
        <v>5</v>
      </c>
      <c r="G43" s="6" t="s">
        <v>5</v>
      </c>
      <c r="H43" s="23" t="s">
        <v>6</v>
      </c>
    </row>
    <row r="44" spans="1:10" ht="16.2" thickBot="1" x14ac:dyDescent="0.35">
      <c r="A44" s="72" t="s">
        <v>35</v>
      </c>
      <c r="B44" s="7">
        <v>46187</v>
      </c>
      <c r="C44" s="8">
        <v>0.91666666666666663</v>
      </c>
      <c r="D44" s="9" t="s">
        <v>8</v>
      </c>
      <c r="E44" s="10" t="s">
        <v>36</v>
      </c>
      <c r="F44" s="26">
        <v>2</v>
      </c>
      <c r="G44" s="26">
        <v>2</v>
      </c>
      <c r="H44" s="21" t="s">
        <v>37</v>
      </c>
      <c r="J44" s="1">
        <f>IF(OR(Resultados!F44="",Resultados!G44=""),"",IF(AND(F44=Resultados!F44,G44=Resultados!G44),2,IF(((F44&gt;G44)=(Resultados!F44&gt;Resultados!G44))*((F44&lt;G44)=(Resultados!F44&lt;Resultados!G44)),1,0)))</f>
        <v>2</v>
      </c>
    </row>
    <row r="45" spans="1:10" ht="16.2" thickBot="1" x14ac:dyDescent="0.35">
      <c r="A45" s="73"/>
      <c r="B45" s="7">
        <v>46188</v>
      </c>
      <c r="C45" s="8">
        <v>0.16666666666666666</v>
      </c>
      <c r="D45" s="9" t="s">
        <v>8</v>
      </c>
      <c r="E45" s="10" t="s">
        <v>38</v>
      </c>
      <c r="F45" s="26">
        <v>2</v>
      </c>
      <c r="G45" s="26">
        <v>1</v>
      </c>
      <c r="H45" s="21" t="s">
        <v>39</v>
      </c>
      <c r="J45" s="1">
        <f>IF(OR(Resultados!F45="",Resultados!G45=""),"",IF(AND(F45=Resultados!F45,G45=Resultados!G45),2,IF(((F45&gt;G45)=(Resultados!F45&gt;Resultados!G45))*((F45&lt;G45)=(Resultados!F45&lt;Resultados!G45)),1,0)))</f>
        <v>1</v>
      </c>
    </row>
    <row r="46" spans="1:10" ht="16.2" thickBot="1" x14ac:dyDescent="0.35">
      <c r="A46" s="73"/>
      <c r="B46" s="7">
        <v>46193</v>
      </c>
      <c r="C46" s="8">
        <v>0.79166666666666663</v>
      </c>
      <c r="D46" s="9" t="s">
        <v>13</v>
      </c>
      <c r="E46" s="10" t="s">
        <v>36</v>
      </c>
      <c r="F46" s="25"/>
      <c r="G46" s="25"/>
      <c r="H46" s="21" t="s">
        <v>38</v>
      </c>
      <c r="J46" s="1" t="str">
        <f>IF(OR(Resultados!F46="",Resultados!G46=""),"",IF(AND(F46=Resultados!F46,G46=Resultados!G46),2,IF(((F46&gt;G46)=(Resultados!F46&gt;Resultados!G46))*((F46&lt;G46)=(Resultados!F46&lt;Resultados!G46)),1,0)))</f>
        <v/>
      </c>
    </row>
    <row r="47" spans="1:10" ht="16.2" thickBot="1" x14ac:dyDescent="0.35">
      <c r="A47" s="73"/>
      <c r="B47" s="7">
        <v>46194</v>
      </c>
      <c r="C47" s="8">
        <v>0.25</v>
      </c>
      <c r="D47" s="9" t="s">
        <v>13</v>
      </c>
      <c r="E47" s="10" t="s">
        <v>39</v>
      </c>
      <c r="F47" s="25"/>
      <c r="G47" s="25"/>
      <c r="H47" s="21" t="s">
        <v>37</v>
      </c>
      <c r="J47" s="1" t="str">
        <f>IF(OR(Resultados!F47="",Resultados!G47=""),"",IF(AND(F47=Resultados!F47,G47=Resultados!G47),2,IF(((F47&gt;G47)=(Resultados!F47&gt;Resultados!G47))*((F47&lt;G47)=(Resultados!F47&lt;Resultados!G47)),1,0)))</f>
        <v/>
      </c>
    </row>
    <row r="48" spans="1:10" ht="16.2" thickBot="1" x14ac:dyDescent="0.35">
      <c r="A48" s="73"/>
      <c r="B48" s="7">
        <v>46199</v>
      </c>
      <c r="C48" s="8">
        <v>4.1666666666666664E-2</v>
      </c>
      <c r="D48" s="9" t="s">
        <v>14</v>
      </c>
      <c r="E48" s="10" t="s">
        <v>37</v>
      </c>
      <c r="F48" s="25"/>
      <c r="G48" s="25"/>
      <c r="H48" s="21" t="s">
        <v>38</v>
      </c>
      <c r="J48" s="1" t="str">
        <f>IF(OR(Resultados!F48="",Resultados!G48=""),"",IF(AND(F48=Resultados!F48,G48=Resultados!G48),2,IF(((F48&gt;G48)=(Resultados!F48&gt;Resultados!G48))*((F48&lt;G48)=(Resultados!F48&lt;Resultados!G48)),1,0)))</f>
        <v/>
      </c>
    </row>
    <row r="49" spans="1:10" ht="16.2" thickBot="1" x14ac:dyDescent="0.35">
      <c r="A49" s="74"/>
      <c r="B49" s="12">
        <v>46199</v>
      </c>
      <c r="C49" s="13">
        <v>4.1666666666666664E-2</v>
      </c>
      <c r="D49" s="14" t="s">
        <v>14</v>
      </c>
      <c r="E49" s="15" t="s">
        <v>39</v>
      </c>
      <c r="F49" s="25"/>
      <c r="G49" s="25"/>
      <c r="H49" s="21" t="s">
        <v>36</v>
      </c>
      <c r="J49" s="1" t="str">
        <f>IF(OR(Resultados!F49="",Resultados!G49=""),"",IF(AND(F49=Resultados!F49,G49=Resultados!G49),2,IF(((F49&gt;G49)=(Resultados!F49&gt;Resultados!G49))*((F49&lt;G49)=(Resultados!F49&lt;Resultados!G49)),1,0)))</f>
        <v/>
      </c>
    </row>
    <row r="50" spans="1:10" ht="16.2" thickBot="1" x14ac:dyDescent="0.35">
      <c r="A50" s="17"/>
      <c r="B50" s="18"/>
      <c r="C50" s="18"/>
      <c r="D50" s="18"/>
      <c r="E50" s="18"/>
      <c r="F50" s="18"/>
      <c r="G50" s="18"/>
      <c r="H50" s="22"/>
    </row>
    <row r="51" spans="1:10" ht="16.2" thickBot="1" x14ac:dyDescent="0.35">
      <c r="A51" s="16"/>
      <c r="B51" s="4" t="s">
        <v>1</v>
      </c>
      <c r="C51" s="4" t="s">
        <v>2</v>
      </c>
      <c r="D51" s="4" t="s">
        <v>3</v>
      </c>
      <c r="E51" s="5" t="s">
        <v>4</v>
      </c>
      <c r="F51" s="6" t="s">
        <v>5</v>
      </c>
      <c r="G51" s="6" t="s">
        <v>5</v>
      </c>
      <c r="H51" s="23" t="s">
        <v>6</v>
      </c>
    </row>
    <row r="52" spans="1:10" ht="16.2" thickBot="1" x14ac:dyDescent="0.35">
      <c r="A52" s="75" t="s">
        <v>40</v>
      </c>
      <c r="B52" s="7">
        <v>46188</v>
      </c>
      <c r="C52" s="8">
        <v>0.875</v>
      </c>
      <c r="D52" s="9" t="s">
        <v>8</v>
      </c>
      <c r="E52" s="10" t="s">
        <v>41</v>
      </c>
      <c r="F52" s="26">
        <v>2</v>
      </c>
      <c r="G52" s="26">
        <v>1</v>
      </c>
      <c r="H52" s="21" t="s">
        <v>42</v>
      </c>
      <c r="J52" s="1" t="str">
        <f>IF(OR(Resultados!F52="",Resultados!G52=""),"",IF(AND(F52=Resultados!F52,G52=Resultados!G52),2,IF(((F52&gt;G52)=(Resultados!F52&gt;Resultados!G52))*((F52&lt;G52)=(Resultados!F52&lt;Resultados!G52)),1,0)))</f>
        <v/>
      </c>
    </row>
    <row r="53" spans="1:10" ht="16.2" thickBot="1" x14ac:dyDescent="0.35">
      <c r="A53" s="76"/>
      <c r="B53" s="7">
        <v>46189</v>
      </c>
      <c r="C53" s="8">
        <v>0.125</v>
      </c>
      <c r="D53" s="9" t="s">
        <v>8</v>
      </c>
      <c r="E53" s="10" t="s">
        <v>43</v>
      </c>
      <c r="F53" s="26">
        <v>0</v>
      </c>
      <c r="G53" s="26">
        <v>2</v>
      </c>
      <c r="H53" s="21" t="s">
        <v>44</v>
      </c>
      <c r="J53" s="1" t="str">
        <f>IF(OR(Resultados!F53="",Resultados!G53=""),"",IF(AND(F53=Resultados!F53,G53=Resultados!G53),2,IF(((F53&gt;G53)=(Resultados!F53&gt;Resultados!G53))*((F53&lt;G53)=(Resultados!F53&lt;Resultados!G53)),1,0)))</f>
        <v/>
      </c>
    </row>
    <row r="54" spans="1:10" ht="16.2" thickBot="1" x14ac:dyDescent="0.35">
      <c r="A54" s="76"/>
      <c r="B54" s="7">
        <v>46194</v>
      </c>
      <c r="C54" s="8">
        <v>0.875</v>
      </c>
      <c r="D54" s="9" t="s">
        <v>13</v>
      </c>
      <c r="E54" s="10" t="s">
        <v>41</v>
      </c>
      <c r="F54" s="25"/>
      <c r="G54" s="25"/>
      <c r="H54" s="21" t="s">
        <v>43</v>
      </c>
      <c r="J54" s="1" t="str">
        <f>IF(OR(Resultados!F54="",Resultados!G54=""),"",IF(AND(F54=Resultados!F54,G54=Resultados!G54),2,IF(((F54&gt;G54)=(Resultados!F54&gt;Resultados!G54))*((F54&lt;G54)=(Resultados!F54&lt;Resultados!G54)),1,0)))</f>
        <v/>
      </c>
    </row>
    <row r="55" spans="1:10" ht="16.2" thickBot="1" x14ac:dyDescent="0.35">
      <c r="A55" s="76"/>
      <c r="B55" s="7">
        <v>46195</v>
      </c>
      <c r="C55" s="8">
        <v>0.125</v>
      </c>
      <c r="D55" s="9" t="s">
        <v>13</v>
      </c>
      <c r="E55" s="10" t="s">
        <v>44</v>
      </c>
      <c r="F55" s="25"/>
      <c r="G55" s="25"/>
      <c r="H55" s="21" t="s">
        <v>42</v>
      </c>
      <c r="J55" s="1" t="str">
        <f>IF(OR(Resultados!F55="",Resultados!G55=""),"",IF(AND(F55=Resultados!F55,G55=Resultados!G55),2,IF(((F55&gt;G55)=(Resultados!F55&gt;Resultados!G55))*((F55&lt;G55)=(Resultados!F55&lt;Resultados!G55)),1,0)))</f>
        <v/>
      </c>
    </row>
    <row r="56" spans="1:10" ht="16.2" thickBot="1" x14ac:dyDescent="0.35">
      <c r="A56" s="76"/>
      <c r="B56" s="7">
        <v>46200</v>
      </c>
      <c r="C56" s="8">
        <v>0.20833333333333334</v>
      </c>
      <c r="D56" s="9" t="s">
        <v>14</v>
      </c>
      <c r="E56" s="10" t="s">
        <v>42</v>
      </c>
      <c r="F56" s="25"/>
      <c r="G56" s="25"/>
      <c r="H56" s="21" t="s">
        <v>43</v>
      </c>
      <c r="J56" s="1" t="str">
        <f>IF(OR(Resultados!F56="",Resultados!G56=""),"",IF(AND(F56=Resultados!F56,G56=Resultados!G56),2,IF(((F56&gt;G56)=(Resultados!F56&gt;Resultados!G56))*((F56&lt;G56)=(Resultados!F56&lt;Resultados!G56)),1,0)))</f>
        <v/>
      </c>
    </row>
    <row r="57" spans="1:10" ht="16.2" thickBot="1" x14ac:dyDescent="0.35">
      <c r="A57" s="77"/>
      <c r="B57" s="12">
        <v>46200</v>
      </c>
      <c r="C57" s="13">
        <v>0.20833333333333334</v>
      </c>
      <c r="D57" s="14" t="s">
        <v>14</v>
      </c>
      <c r="E57" s="15" t="s">
        <v>44</v>
      </c>
      <c r="F57" s="25"/>
      <c r="G57" s="25"/>
      <c r="H57" s="21" t="s">
        <v>41</v>
      </c>
      <c r="J57" s="1" t="str">
        <f>IF(OR(Resultados!F57="",Resultados!G57=""),"",IF(AND(F57=Resultados!F57,G57=Resultados!G57),2,IF(((F57&gt;G57)=(Resultados!F57&gt;Resultados!G57))*((F57&lt;G57)=(Resultados!F57&lt;Resultados!G57)),1,0)))</f>
        <v/>
      </c>
    </row>
    <row r="58" spans="1:10" ht="16.2" thickBot="1" x14ac:dyDescent="0.35">
      <c r="A58" s="17"/>
      <c r="B58" s="18"/>
      <c r="C58" s="18"/>
      <c r="D58" s="18"/>
      <c r="E58" s="18"/>
      <c r="F58" s="18"/>
      <c r="G58" s="18"/>
      <c r="H58" s="22"/>
    </row>
    <row r="59" spans="1:10" ht="16.2" thickBot="1" x14ac:dyDescent="0.35">
      <c r="A59" s="16"/>
      <c r="B59" s="4" t="s">
        <v>1</v>
      </c>
      <c r="C59" s="4" t="s">
        <v>2</v>
      </c>
      <c r="D59" s="4" t="s">
        <v>3</v>
      </c>
      <c r="E59" s="5" t="s">
        <v>4</v>
      </c>
      <c r="F59" s="6" t="s">
        <v>5</v>
      </c>
      <c r="G59" s="6" t="s">
        <v>5</v>
      </c>
      <c r="H59" s="23" t="s">
        <v>6</v>
      </c>
    </row>
    <row r="60" spans="1:10" ht="16.2" thickBot="1" x14ac:dyDescent="0.35">
      <c r="A60" s="78" t="s">
        <v>45</v>
      </c>
      <c r="B60" s="7">
        <v>46188</v>
      </c>
      <c r="C60" s="8">
        <v>0.75</v>
      </c>
      <c r="D60" s="9" t="s">
        <v>8</v>
      </c>
      <c r="E60" s="10" t="s">
        <v>46</v>
      </c>
      <c r="F60" s="26"/>
      <c r="G60" s="26"/>
      <c r="H60" s="21" t="s">
        <v>47</v>
      </c>
      <c r="J60" s="1" t="str">
        <f>IF(OR(Resultados!F60="",Resultados!G60=""),"",IF(AND(F60=Resultados!F60,G60=Resultados!G60),2,IF(((F60&gt;G60)=(Resultados!F60&gt;Resultados!G60))*((F60&lt;G60)=(Resultados!F60&lt;Resultados!G60)),1,0)))</f>
        <v/>
      </c>
    </row>
    <row r="61" spans="1:10" ht="16.2" thickBot="1" x14ac:dyDescent="0.35">
      <c r="A61" s="79"/>
      <c r="B61" s="7">
        <v>46189</v>
      </c>
      <c r="C61" s="8">
        <v>0</v>
      </c>
      <c r="D61" s="9" t="s">
        <v>8</v>
      </c>
      <c r="E61" s="10" t="s">
        <v>48</v>
      </c>
      <c r="F61" s="26"/>
      <c r="G61" s="26"/>
      <c r="H61" s="21" t="s">
        <v>49</v>
      </c>
      <c r="J61" s="1" t="str">
        <f>IF(OR(Resultados!F61="",Resultados!G61=""),"",IF(AND(F61=Resultados!F61,G61=Resultados!G61),2,IF(((F61&gt;G61)=(Resultados!F61&gt;Resultados!G61))*((F61&lt;G61)=(Resultados!F61&lt;Resultados!G61)),1,0)))</f>
        <v/>
      </c>
    </row>
    <row r="62" spans="1:10" ht="16.2" thickBot="1" x14ac:dyDescent="0.35">
      <c r="A62" s="79"/>
      <c r="B62" s="7">
        <v>46194</v>
      </c>
      <c r="C62" s="8">
        <v>0.75</v>
      </c>
      <c r="D62" s="9" t="s">
        <v>13</v>
      </c>
      <c r="E62" s="10" t="s">
        <v>46</v>
      </c>
      <c r="F62" s="25"/>
      <c r="G62" s="25"/>
      <c r="H62" s="21" t="s">
        <v>48</v>
      </c>
      <c r="J62" s="1" t="str">
        <f>IF(OR(Resultados!F62="",Resultados!G62=""),"",IF(AND(F62=Resultados!F62,G62=Resultados!G62),2,IF(((F62&gt;G62)=(Resultados!F62&gt;Resultados!G62))*((F62&lt;G62)=(Resultados!F62&lt;Resultados!G62)),1,0)))</f>
        <v/>
      </c>
    </row>
    <row r="63" spans="1:10" ht="16.2" thickBot="1" x14ac:dyDescent="0.35">
      <c r="A63" s="79"/>
      <c r="B63" s="7">
        <v>46195</v>
      </c>
      <c r="C63" s="8">
        <v>0</v>
      </c>
      <c r="D63" s="9" t="s">
        <v>13</v>
      </c>
      <c r="E63" s="10" t="s">
        <v>49</v>
      </c>
      <c r="F63" s="25"/>
      <c r="G63" s="25"/>
      <c r="H63" s="21" t="s">
        <v>47</v>
      </c>
      <c r="J63" s="1" t="str">
        <f>IF(OR(Resultados!F63="",Resultados!G63=""),"",IF(AND(F63=Resultados!F63,G63=Resultados!G63),2,IF(((F63&gt;G63)=(Resultados!F63&gt;Resultados!G63))*((F63&lt;G63)=(Resultados!F63&lt;Resultados!G63)),1,0)))</f>
        <v/>
      </c>
    </row>
    <row r="64" spans="1:10" ht="16.2" thickBot="1" x14ac:dyDescent="0.35">
      <c r="A64" s="79"/>
      <c r="B64" s="7">
        <v>46200</v>
      </c>
      <c r="C64" s="8">
        <v>8.3333333333333329E-2</v>
      </c>
      <c r="D64" s="9" t="s">
        <v>14</v>
      </c>
      <c r="E64" s="10" t="s">
        <v>47</v>
      </c>
      <c r="F64" s="25"/>
      <c r="G64" s="25"/>
      <c r="H64" s="21" t="s">
        <v>48</v>
      </c>
      <c r="J64" s="1" t="str">
        <f>IF(OR(Resultados!F64="",Resultados!G64=""),"",IF(AND(F64=Resultados!F64,G64=Resultados!G64),2,IF(((F64&gt;G64)=(Resultados!F64&gt;Resultados!G64))*((F64&lt;G64)=(Resultados!F64&lt;Resultados!G64)),1,0)))</f>
        <v/>
      </c>
    </row>
    <row r="65" spans="1:10" ht="16.2" thickBot="1" x14ac:dyDescent="0.35">
      <c r="A65" s="80"/>
      <c r="B65" s="12">
        <v>46200</v>
      </c>
      <c r="C65" s="13">
        <v>8.3333333333333329E-2</v>
      </c>
      <c r="D65" s="14" t="s">
        <v>14</v>
      </c>
      <c r="E65" s="15" t="s">
        <v>49</v>
      </c>
      <c r="F65" s="25"/>
      <c r="G65" s="25"/>
      <c r="H65" s="21" t="s">
        <v>46</v>
      </c>
      <c r="J65" s="1" t="str">
        <f>IF(OR(Resultados!F65="",Resultados!G65=""),"",IF(AND(F65=Resultados!F65,G65=Resultados!G65),2,IF(((F65&gt;G65)=(Resultados!F65&gt;Resultados!G65))*((F65&lt;G65)=(Resultados!F65&lt;Resultados!G65)),1,0)))</f>
        <v/>
      </c>
    </row>
    <row r="66" spans="1:10" ht="16.2" thickBot="1" x14ac:dyDescent="0.35">
      <c r="A66" s="17"/>
      <c r="B66" s="18"/>
      <c r="C66" s="18"/>
      <c r="D66" s="18"/>
      <c r="E66" s="18"/>
      <c r="F66" s="18"/>
      <c r="G66" s="18"/>
      <c r="H66" s="22"/>
    </row>
    <row r="67" spans="1:10" ht="16.2" thickBot="1" x14ac:dyDescent="0.35">
      <c r="A67" s="16"/>
      <c r="B67" s="4" t="s">
        <v>1</v>
      </c>
      <c r="C67" s="4" t="s">
        <v>2</v>
      </c>
      <c r="D67" s="4" t="s">
        <v>3</v>
      </c>
      <c r="E67" s="5" t="s">
        <v>4</v>
      </c>
      <c r="F67" s="6" t="s">
        <v>5</v>
      </c>
      <c r="G67" s="6" t="s">
        <v>5</v>
      </c>
      <c r="H67" s="23" t="s">
        <v>6</v>
      </c>
    </row>
    <row r="68" spans="1:10" ht="16.2" thickBot="1" x14ac:dyDescent="0.35">
      <c r="A68" s="81" t="s">
        <v>50</v>
      </c>
      <c r="B68" s="7">
        <v>46189</v>
      </c>
      <c r="C68" s="8">
        <v>0.875</v>
      </c>
      <c r="D68" s="9" t="s">
        <v>8</v>
      </c>
      <c r="E68" s="10" t="s">
        <v>51</v>
      </c>
      <c r="F68" s="26"/>
      <c r="G68" s="26"/>
      <c r="H68" s="21" t="s">
        <v>52</v>
      </c>
      <c r="J68" s="1" t="str">
        <f>IF(OR(Resultados!F68="",Resultados!G68=""),"",IF(AND(F68=Resultados!F68,G68=Resultados!G68),2,IF(((F68&gt;G68)=(Resultados!F68&gt;Resultados!G68))*((F68&lt;G68)=(Resultados!F68&lt;Resultados!G68)),1,0)))</f>
        <v/>
      </c>
    </row>
    <row r="69" spans="1:10" ht="16.2" thickBot="1" x14ac:dyDescent="0.35">
      <c r="A69" s="82"/>
      <c r="B69" s="7">
        <v>46190</v>
      </c>
      <c r="C69" s="8">
        <v>0</v>
      </c>
      <c r="D69" s="9" t="s">
        <v>8</v>
      </c>
      <c r="E69" s="10" t="s">
        <v>53</v>
      </c>
      <c r="F69" s="26"/>
      <c r="G69" s="26"/>
      <c r="H69" s="21" t="s">
        <v>54</v>
      </c>
      <c r="J69" s="1" t="str">
        <f>IF(OR(Resultados!F69="",Resultados!G69=""),"",IF(AND(F69=Resultados!F69,G69=Resultados!G69),2,IF(((F69&gt;G69)=(Resultados!F69&gt;Resultados!G69))*((F69&lt;G69)=(Resultados!F69&lt;Resultados!G69)),1,0)))</f>
        <v/>
      </c>
    </row>
    <row r="70" spans="1:10" ht="16.2" thickBot="1" x14ac:dyDescent="0.35">
      <c r="A70" s="82"/>
      <c r="B70" s="7">
        <v>46195</v>
      </c>
      <c r="C70" s="8">
        <v>0.95833333333333337</v>
      </c>
      <c r="D70" s="9" t="s">
        <v>13</v>
      </c>
      <c r="E70" s="10" t="s">
        <v>51</v>
      </c>
      <c r="F70" s="25"/>
      <c r="G70" s="25"/>
      <c r="H70" s="21" t="s">
        <v>53</v>
      </c>
      <c r="J70" s="1" t="str">
        <f>IF(OR(Resultados!F70="",Resultados!G70=""),"",IF(AND(F70=Resultados!F70,G70=Resultados!G70),2,IF(((F70&gt;G70)=(Resultados!F70&gt;Resultados!G70))*((F70&lt;G70)=(Resultados!F70&lt;Resultados!G70)),1,0)))</f>
        <v/>
      </c>
    </row>
    <row r="71" spans="1:10" ht="16.2" thickBot="1" x14ac:dyDescent="0.35">
      <c r="A71" s="82"/>
      <c r="B71" s="7">
        <v>46196</v>
      </c>
      <c r="C71" s="8">
        <v>8.3333333333333329E-2</v>
      </c>
      <c r="D71" s="9" t="s">
        <v>13</v>
      </c>
      <c r="E71" s="10" t="s">
        <v>54</v>
      </c>
      <c r="F71" s="25"/>
      <c r="G71" s="25"/>
      <c r="H71" s="21" t="s">
        <v>52</v>
      </c>
      <c r="J71" s="1" t="str">
        <f>IF(OR(Resultados!F71="",Resultados!G71=""),"",IF(AND(F71=Resultados!F71,G71=Resultados!G71),2,IF(((F71&gt;G71)=(Resultados!F71&gt;Resultados!G71))*((F71&lt;G71)=(Resultados!F71&lt;Resultados!G71)),1,0)))</f>
        <v/>
      </c>
    </row>
    <row r="72" spans="1:10" ht="16.2" thickBot="1" x14ac:dyDescent="0.35">
      <c r="A72" s="82"/>
      <c r="B72" s="7">
        <v>46199</v>
      </c>
      <c r="C72" s="8">
        <v>0.875</v>
      </c>
      <c r="D72" s="9" t="s">
        <v>14</v>
      </c>
      <c r="E72" s="10" t="s">
        <v>54</v>
      </c>
      <c r="F72" s="25"/>
      <c r="G72" s="25"/>
      <c r="H72" s="21" t="s">
        <v>51</v>
      </c>
      <c r="J72" s="1" t="str">
        <f>IF(OR(Resultados!F72="",Resultados!G72=""),"",IF(AND(F72=Resultados!F72,G72=Resultados!G72),2,IF(((F72&gt;G72)=(Resultados!F72&gt;Resultados!G72))*((F72&lt;G72)=(Resultados!F72&lt;Resultados!G72)),1,0)))</f>
        <v/>
      </c>
    </row>
    <row r="73" spans="1:10" ht="16.2" thickBot="1" x14ac:dyDescent="0.35">
      <c r="A73" s="83"/>
      <c r="B73" s="12">
        <v>46199</v>
      </c>
      <c r="C73" s="13">
        <v>0.875</v>
      </c>
      <c r="D73" s="14" t="s">
        <v>14</v>
      </c>
      <c r="E73" s="15" t="s">
        <v>52</v>
      </c>
      <c r="F73" s="25"/>
      <c r="G73" s="25"/>
      <c r="H73" s="21" t="s">
        <v>53</v>
      </c>
      <c r="J73" s="1" t="str">
        <f>IF(OR(Resultados!F73="",Resultados!G73=""),"",IF(AND(F73=Resultados!F73,G73=Resultados!G73),2,IF(((F73&gt;G73)=(Resultados!F73&gt;Resultados!G73))*((F73&lt;G73)=(Resultados!F73&lt;Resultados!G73)),1,0)))</f>
        <v/>
      </c>
    </row>
    <row r="74" spans="1:10" ht="16.2" thickBot="1" x14ac:dyDescent="0.35">
      <c r="A74" s="17"/>
      <c r="B74" s="18"/>
      <c r="C74" s="18"/>
      <c r="D74" s="18"/>
      <c r="E74" s="18"/>
      <c r="F74" s="18"/>
      <c r="G74" s="18"/>
      <c r="H74" s="22"/>
    </row>
    <row r="75" spans="1:10" ht="16.2" thickBot="1" x14ac:dyDescent="0.35">
      <c r="A75" s="16"/>
      <c r="B75" s="4" t="s">
        <v>1</v>
      </c>
      <c r="C75" s="4" t="s">
        <v>2</v>
      </c>
      <c r="D75" s="4" t="s">
        <v>3</v>
      </c>
      <c r="E75" s="5" t="s">
        <v>4</v>
      </c>
      <c r="F75" s="6" t="s">
        <v>5</v>
      </c>
      <c r="G75" s="6" t="s">
        <v>5</v>
      </c>
      <c r="H75" s="23" t="s">
        <v>6</v>
      </c>
    </row>
    <row r="76" spans="1:10" ht="16.2" thickBot="1" x14ac:dyDescent="0.35">
      <c r="A76" s="84" t="s">
        <v>55</v>
      </c>
      <c r="B76" s="7">
        <v>46190</v>
      </c>
      <c r="C76" s="8">
        <v>0.125</v>
      </c>
      <c r="D76" s="9" t="s">
        <v>8</v>
      </c>
      <c r="E76" s="10" t="s">
        <v>56</v>
      </c>
      <c r="F76" s="26"/>
      <c r="G76" s="26"/>
      <c r="H76" s="21" t="s">
        <v>57</v>
      </c>
      <c r="J76" s="1" t="str">
        <f>IF(OR(Resultados!F76="",Resultados!G76=""),"",IF(AND(F76=Resultados!F76,G76=Resultados!G76),2,IF(((F76&gt;G76)=(Resultados!F76&gt;Resultados!G76))*((F76&lt;G76)=(Resultados!F76&lt;Resultados!G76)),1,0)))</f>
        <v/>
      </c>
    </row>
    <row r="77" spans="1:10" ht="16.2" thickBot="1" x14ac:dyDescent="0.35">
      <c r="A77" s="85"/>
      <c r="B77" s="7">
        <v>46190</v>
      </c>
      <c r="C77" s="8">
        <v>0.25</v>
      </c>
      <c r="D77" s="9" t="s">
        <v>8</v>
      </c>
      <c r="E77" s="10" t="s">
        <v>58</v>
      </c>
      <c r="F77" s="26"/>
      <c r="G77" s="26"/>
      <c r="H77" s="21" t="s">
        <v>59</v>
      </c>
      <c r="J77" s="1" t="str">
        <f>IF(OR(Resultados!F77="",Resultados!G77=""),"",IF(AND(F77=Resultados!F77,G77=Resultados!G77),2,IF(((F77&gt;G77)=(Resultados!F77&gt;Resultados!G77))*((F77&lt;G77)=(Resultados!F77&lt;Resultados!G77)),1,0)))</f>
        <v/>
      </c>
    </row>
    <row r="78" spans="1:10" ht="16.2" thickBot="1" x14ac:dyDescent="0.35">
      <c r="A78" s="85"/>
      <c r="B78" s="7">
        <v>46195</v>
      </c>
      <c r="C78" s="8">
        <v>0.79166666666666663</v>
      </c>
      <c r="D78" s="9" t="s">
        <v>13</v>
      </c>
      <c r="E78" s="10" t="s">
        <v>56</v>
      </c>
      <c r="F78" s="25"/>
      <c r="G78" s="25"/>
      <c r="H78" s="21" t="s">
        <v>58</v>
      </c>
      <c r="J78" s="1" t="str">
        <f>IF(OR(Resultados!F78="",Resultados!G78=""),"",IF(AND(F78=Resultados!F78,G78=Resultados!G78),2,IF(((F78&gt;G78)=(Resultados!F78&gt;Resultados!G78))*((F78&lt;G78)=(Resultados!F78&lt;Resultados!G78)),1,0)))</f>
        <v/>
      </c>
    </row>
    <row r="79" spans="1:10" ht="16.2" thickBot="1" x14ac:dyDescent="0.35">
      <c r="A79" s="85"/>
      <c r="B79" s="7">
        <v>46196</v>
      </c>
      <c r="C79" s="8">
        <v>0.20833333333333334</v>
      </c>
      <c r="D79" s="9" t="s">
        <v>13</v>
      </c>
      <c r="E79" s="10" t="s">
        <v>59</v>
      </c>
      <c r="F79" s="25"/>
      <c r="G79" s="25"/>
      <c r="H79" s="21" t="s">
        <v>57</v>
      </c>
      <c r="J79" s="1" t="str">
        <f>IF(OR(Resultados!F79="",Resultados!G79=""),"",IF(AND(F79=Resultados!F79,G79=Resultados!G79),2,IF(((F79&gt;G79)=(Resultados!F79&gt;Resultados!G79))*((F79&lt;G79)=(Resultados!F79&lt;Resultados!G79)),1,0)))</f>
        <v/>
      </c>
    </row>
    <row r="80" spans="1:10" ht="16.2" thickBot="1" x14ac:dyDescent="0.35">
      <c r="A80" s="85"/>
      <c r="B80" s="7">
        <v>46201</v>
      </c>
      <c r="C80" s="8">
        <v>0.16666666666666666</v>
      </c>
      <c r="D80" s="9" t="s">
        <v>14</v>
      </c>
      <c r="E80" s="10" t="s">
        <v>57</v>
      </c>
      <c r="F80" s="25"/>
      <c r="G80" s="25"/>
      <c r="H80" s="21" t="s">
        <v>58</v>
      </c>
      <c r="J80" s="1" t="str">
        <f>IF(OR(Resultados!F80="",Resultados!G80=""),"",IF(AND(F80=Resultados!F80,G80=Resultados!G80),2,IF(((F80&gt;G80)=(Resultados!F80&gt;Resultados!G80))*((F80&lt;G80)=(Resultados!F80&lt;Resultados!G80)),1,0)))</f>
        <v/>
      </c>
    </row>
    <row r="81" spans="1:10" ht="16.2" thickBot="1" x14ac:dyDescent="0.35">
      <c r="A81" s="86"/>
      <c r="B81" s="12">
        <v>46201</v>
      </c>
      <c r="C81" s="13">
        <v>0.16666666666666666</v>
      </c>
      <c r="D81" s="14" t="s">
        <v>14</v>
      </c>
      <c r="E81" s="15" t="s">
        <v>59</v>
      </c>
      <c r="F81" s="25"/>
      <c r="G81" s="25"/>
      <c r="H81" s="21" t="s">
        <v>56</v>
      </c>
      <c r="J81" s="1" t="str">
        <f>IF(OR(Resultados!F81="",Resultados!G81=""),"",IF(AND(F81=Resultados!F81,G81=Resultados!G81),2,IF(((F81&gt;G81)=(Resultados!F81&gt;Resultados!G81))*((F81&lt;G81)=(Resultados!F81&lt;Resultados!G81)),1,0)))</f>
        <v/>
      </c>
    </row>
    <row r="82" spans="1:10" ht="14.4" customHeight="1" thickBot="1" x14ac:dyDescent="0.35">
      <c r="A82" s="19"/>
      <c r="B82" s="19"/>
      <c r="C82" s="19"/>
      <c r="D82" s="19"/>
      <c r="E82" s="19"/>
      <c r="F82" s="19"/>
      <c r="G82" s="19"/>
      <c r="H82" s="24"/>
    </row>
    <row r="83" spans="1:10" ht="16.2" thickBot="1" x14ac:dyDescent="0.35">
      <c r="A83" s="16"/>
      <c r="B83" s="4" t="s">
        <v>1</v>
      </c>
      <c r="C83" s="4" t="s">
        <v>2</v>
      </c>
      <c r="D83" s="4" t="s">
        <v>3</v>
      </c>
      <c r="E83" s="5" t="s">
        <v>4</v>
      </c>
      <c r="F83" s="6" t="s">
        <v>5</v>
      </c>
      <c r="G83" s="6" t="s">
        <v>5</v>
      </c>
      <c r="H83" s="23" t="s">
        <v>6</v>
      </c>
    </row>
    <row r="84" spans="1:10" ht="16.2" thickBot="1" x14ac:dyDescent="0.35">
      <c r="A84" s="87" t="s">
        <v>60</v>
      </c>
      <c r="B84" s="7">
        <v>46190</v>
      </c>
      <c r="C84" s="8">
        <v>0.79166666666666663</v>
      </c>
      <c r="D84" s="9" t="s">
        <v>8</v>
      </c>
      <c r="E84" s="10" t="s">
        <v>61</v>
      </c>
      <c r="F84" s="26"/>
      <c r="G84" s="26"/>
      <c r="H84" s="21" t="s">
        <v>62</v>
      </c>
      <c r="J84" s="1" t="str">
        <f>IF(OR(Resultados!F84="",Resultados!G84=""),"",IF(AND(F84=Resultados!F84,G84=Resultados!G84),2,IF(((F84&gt;G84)=(Resultados!F84&gt;Resultados!G84))*((F84&lt;G84)=(Resultados!F84&lt;Resultados!G84)),1,0)))</f>
        <v/>
      </c>
    </row>
    <row r="85" spans="1:10" ht="16.2" thickBot="1" x14ac:dyDescent="0.35">
      <c r="A85" s="88"/>
      <c r="B85" s="7">
        <v>46191</v>
      </c>
      <c r="C85" s="8">
        <v>0.16666666666666666</v>
      </c>
      <c r="D85" s="9" t="s">
        <v>8</v>
      </c>
      <c r="E85" s="10" t="s">
        <v>63</v>
      </c>
      <c r="F85" s="26"/>
      <c r="G85" s="26"/>
      <c r="H85" s="21" t="s">
        <v>64</v>
      </c>
      <c r="J85" s="1" t="str">
        <f>IF(OR(Resultados!F85="",Resultados!G85=""),"",IF(AND(F85=Resultados!F85,G85=Resultados!G85),2,IF(((F85&gt;G85)=(Resultados!F85&gt;Resultados!G85))*((F85&lt;G85)=(Resultados!F85&lt;Resultados!G85)),1,0)))</f>
        <v/>
      </c>
    </row>
    <row r="86" spans="1:10" ht="16.2" thickBot="1" x14ac:dyDescent="0.35">
      <c r="A86" s="88"/>
      <c r="B86" s="7">
        <v>46196</v>
      </c>
      <c r="C86" s="8">
        <v>0.79166666666666663</v>
      </c>
      <c r="D86" s="9" t="s">
        <v>13</v>
      </c>
      <c r="E86" s="10" t="s">
        <v>61</v>
      </c>
      <c r="F86" s="25"/>
      <c r="G86" s="25"/>
      <c r="H86" s="21" t="s">
        <v>63</v>
      </c>
      <c r="J86" s="1" t="str">
        <f>IF(OR(Resultados!F86="",Resultados!G86=""),"",IF(AND(F86=Resultados!F86,G86=Resultados!G86),2,IF(((F86&gt;G86)=(Resultados!F86&gt;Resultados!G86))*((F86&lt;G86)=(Resultados!F86&lt;Resultados!G86)),1,0)))</f>
        <v/>
      </c>
    </row>
    <row r="87" spans="1:10" ht="16.2" thickBot="1" x14ac:dyDescent="0.35">
      <c r="A87" s="88"/>
      <c r="B87" s="7">
        <v>46197</v>
      </c>
      <c r="C87" s="8">
        <v>0.16666666666666666</v>
      </c>
      <c r="D87" s="9" t="s">
        <v>13</v>
      </c>
      <c r="E87" s="10" t="s">
        <v>64</v>
      </c>
      <c r="F87" s="25"/>
      <c r="G87" s="25"/>
      <c r="H87" s="21" t="s">
        <v>62</v>
      </c>
      <c r="J87" s="1" t="str">
        <f>IF(OR(Resultados!F87="",Resultados!G87=""),"",IF(AND(F87=Resultados!F87,G87=Resultados!G87),2,IF(((F87&gt;G87)=(Resultados!F87&gt;Resultados!G87))*((F87&lt;G87)=(Resultados!F87&lt;Resultados!G87)),1,0)))</f>
        <v/>
      </c>
    </row>
    <row r="88" spans="1:10" ht="16.2" thickBot="1" x14ac:dyDescent="0.35">
      <c r="A88" s="88"/>
      <c r="B88" s="7">
        <v>46201</v>
      </c>
      <c r="C88" s="8">
        <v>6.25E-2</v>
      </c>
      <c r="D88" s="9" t="s">
        <v>14</v>
      </c>
      <c r="E88" s="10" t="s">
        <v>64</v>
      </c>
      <c r="F88" s="25"/>
      <c r="G88" s="25"/>
      <c r="H88" s="21" t="s">
        <v>61</v>
      </c>
      <c r="J88" s="1" t="str">
        <f>IF(OR(Resultados!F88="",Resultados!G88=""),"",IF(AND(F88=Resultados!F88,G88=Resultados!G88),2,IF(((F88&gt;G88)=(Resultados!F88&gt;Resultados!G88))*((F88&lt;G88)=(Resultados!F88&lt;Resultados!G88)),1,0)))</f>
        <v/>
      </c>
    </row>
    <row r="89" spans="1:10" ht="16.2" thickBot="1" x14ac:dyDescent="0.35">
      <c r="A89" s="89"/>
      <c r="B89" s="12">
        <v>46201</v>
      </c>
      <c r="C89" s="13">
        <v>6.25E-2</v>
      </c>
      <c r="D89" s="14" t="s">
        <v>14</v>
      </c>
      <c r="E89" s="15" t="s">
        <v>62</v>
      </c>
      <c r="F89" s="25"/>
      <c r="G89" s="25"/>
      <c r="H89" s="21" t="s">
        <v>63</v>
      </c>
      <c r="J89" s="1" t="str">
        <f>IF(OR(Resultados!F89="",Resultados!G89=""),"",IF(AND(F89=Resultados!F89,G89=Resultados!G89),2,IF(((F89&gt;G89)=(Resultados!F89&gt;Resultados!G89))*((F89&lt;G89)=(Resultados!F89&lt;Resultados!G89)),1,0)))</f>
        <v/>
      </c>
    </row>
    <row r="90" spans="1:10" ht="16.2" thickBot="1" x14ac:dyDescent="0.35">
      <c r="A90" s="17"/>
      <c r="B90" s="18"/>
      <c r="C90" s="18"/>
      <c r="D90" s="18"/>
      <c r="E90" s="18"/>
      <c r="F90" s="18"/>
      <c r="G90" s="18"/>
      <c r="H90" s="22"/>
    </row>
    <row r="91" spans="1:10" ht="16.2" thickBot="1" x14ac:dyDescent="0.35">
      <c r="A91" s="16"/>
      <c r="B91" s="4" t="s">
        <v>1</v>
      </c>
      <c r="C91" s="4" t="s">
        <v>2</v>
      </c>
      <c r="D91" s="4" t="s">
        <v>3</v>
      </c>
      <c r="E91" s="5" t="s">
        <v>4</v>
      </c>
      <c r="F91" s="6" t="s">
        <v>5</v>
      </c>
      <c r="G91" s="6" t="s">
        <v>5</v>
      </c>
      <c r="H91" s="23" t="s">
        <v>6</v>
      </c>
    </row>
    <row r="92" spans="1:10" ht="16.2" thickBot="1" x14ac:dyDescent="0.35">
      <c r="A92" s="69" t="s">
        <v>65</v>
      </c>
      <c r="B92" s="7">
        <v>46190</v>
      </c>
      <c r="C92" s="8">
        <v>0.91666666666666663</v>
      </c>
      <c r="D92" s="9" t="s">
        <v>8</v>
      </c>
      <c r="E92" s="10" t="s">
        <v>66</v>
      </c>
      <c r="F92" s="26"/>
      <c r="G92" s="26"/>
      <c r="H92" s="21" t="s">
        <v>67</v>
      </c>
      <c r="J92" s="1" t="str">
        <f>IF(OR(Resultados!F92="",Resultados!G92=""),"",IF(AND(F92=Resultados!F92,G92=Resultados!G92),2,IF(((F92&gt;G92)=(Resultados!F92&gt;Resultados!G92))*((F92&lt;G92)=(Resultados!F92&lt;Resultados!G92)),1,0)))</f>
        <v/>
      </c>
    </row>
    <row r="93" spans="1:10" ht="16.2" thickBot="1" x14ac:dyDescent="0.35">
      <c r="A93" s="70"/>
      <c r="B93" s="7">
        <v>46191</v>
      </c>
      <c r="C93" s="8">
        <v>4.1666666666666664E-2</v>
      </c>
      <c r="D93" s="9" t="s">
        <v>8</v>
      </c>
      <c r="E93" s="10" t="s">
        <v>68</v>
      </c>
      <c r="F93" s="26"/>
      <c r="G93" s="26"/>
      <c r="H93" s="21" t="s">
        <v>69</v>
      </c>
      <c r="J93" s="1" t="str">
        <f>IF(OR(Resultados!F93="",Resultados!G93=""),"",IF(AND(F93=Resultados!F93,G93=Resultados!G93),2,IF(((F93&gt;G93)=(Resultados!F93&gt;Resultados!G93))*((F93&lt;G93)=(Resultados!F93&lt;Resultados!G93)),1,0)))</f>
        <v/>
      </c>
    </row>
    <row r="94" spans="1:10" ht="16.2" thickBot="1" x14ac:dyDescent="0.35">
      <c r="A94" s="70"/>
      <c r="B94" s="7">
        <v>46196</v>
      </c>
      <c r="C94" s="8">
        <v>0.91666666666666663</v>
      </c>
      <c r="D94" s="9" t="s">
        <v>13</v>
      </c>
      <c r="E94" s="10" t="s">
        <v>66</v>
      </c>
      <c r="F94" s="25"/>
      <c r="G94" s="25"/>
      <c r="H94" s="21" t="s">
        <v>68</v>
      </c>
      <c r="J94" s="1" t="str">
        <f>IF(OR(Resultados!F94="",Resultados!G94=""),"",IF(AND(F94=Resultados!F94,G94=Resultados!G94),2,IF(((F94&gt;G94)=(Resultados!F94&gt;Resultados!G94))*((F94&lt;G94)=(Resultados!F94&lt;Resultados!G94)),1,0)))</f>
        <v/>
      </c>
    </row>
    <row r="95" spans="1:10" ht="16.2" thickBot="1" x14ac:dyDescent="0.35">
      <c r="A95" s="70"/>
      <c r="B95" s="7">
        <v>46197</v>
      </c>
      <c r="C95" s="8">
        <v>4.1666666666666664E-2</v>
      </c>
      <c r="D95" s="9" t="s">
        <v>13</v>
      </c>
      <c r="E95" s="10" t="s">
        <v>69</v>
      </c>
      <c r="F95" s="25"/>
      <c r="G95" s="25"/>
      <c r="H95" s="21" t="s">
        <v>67</v>
      </c>
      <c r="J95" s="1" t="str">
        <f>IF(OR(Resultados!F95="",Resultados!G95=""),"",IF(AND(F95=Resultados!F95,G95=Resultados!G95),2,IF(((F95&gt;G95)=(Resultados!F95&gt;Resultados!G95))*((F95&lt;G95)=(Resultados!F95&lt;Resultados!G95)),1,0)))</f>
        <v/>
      </c>
    </row>
    <row r="96" spans="1:10" ht="16.2" thickBot="1" x14ac:dyDescent="0.35">
      <c r="A96" s="70"/>
      <c r="B96" s="7">
        <v>46200</v>
      </c>
      <c r="C96" s="8">
        <v>0.95833333333333337</v>
      </c>
      <c r="D96" s="9" t="s">
        <v>14</v>
      </c>
      <c r="E96" s="10" t="s">
        <v>69</v>
      </c>
      <c r="F96" s="25"/>
      <c r="G96" s="25"/>
      <c r="H96" s="21" t="s">
        <v>66</v>
      </c>
      <c r="J96" s="1" t="str">
        <f>IF(OR(Resultados!F96="",Resultados!G96=""),"",IF(AND(F96=Resultados!F96,G96=Resultados!G96),2,IF(((F96&gt;G96)=(Resultados!F96&gt;Resultados!G96))*((F96&lt;G96)=(Resultados!F96&lt;Resultados!G96)),1,0)))</f>
        <v/>
      </c>
    </row>
    <row r="97" spans="1:10" ht="16.2" thickBot="1" x14ac:dyDescent="0.35">
      <c r="A97" s="71"/>
      <c r="B97" s="12">
        <v>46200</v>
      </c>
      <c r="C97" s="13">
        <v>0.95833333333333337</v>
      </c>
      <c r="D97" s="14" t="s">
        <v>14</v>
      </c>
      <c r="E97" s="15" t="s">
        <v>67</v>
      </c>
      <c r="F97" s="25"/>
      <c r="G97" s="25"/>
      <c r="H97" s="21" t="s">
        <v>68</v>
      </c>
      <c r="J97" s="1" t="str">
        <f>IF(OR(Resultados!F97="",Resultados!G97=""),"",IF(AND(F97=Resultados!F97,G97=Resultados!G97),2,IF(((F97&gt;G97)=(Resultados!F97&gt;Resultados!G97))*((F97&lt;G97)=(Resultados!F97&lt;Resultados!G97)),1,0)))</f>
        <v/>
      </c>
    </row>
  </sheetData>
  <mergeCells count="14">
    <mergeCell ref="A84:A89"/>
    <mergeCell ref="A92:A97"/>
    <mergeCell ref="A36:A41"/>
    <mergeCell ref="A44:A49"/>
    <mergeCell ref="A52:A57"/>
    <mergeCell ref="A60:A65"/>
    <mergeCell ref="A68:A73"/>
    <mergeCell ref="A76:A81"/>
    <mergeCell ref="A28:A33"/>
    <mergeCell ref="A1:H1"/>
    <mergeCell ref="A2:H2"/>
    <mergeCell ref="A4:A9"/>
    <mergeCell ref="A12:A17"/>
    <mergeCell ref="A20:A25"/>
  </mergeCells>
  <pageMargins left="0.7" right="0.7" top="0.75" bottom="0.75" header="0.3" footer="0.3"/>
  <ignoredErrors>
    <ignoredError sqref="J6:J97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B99D-6182-432F-8D09-53688D91504C}">
  <dimension ref="A1:L97"/>
  <sheetViews>
    <sheetView topLeftCell="A29" zoomScale="115" zoomScaleNormal="115" workbookViewId="0">
      <selection activeCell="L82" sqref="L82"/>
    </sheetView>
  </sheetViews>
  <sheetFormatPr baseColWidth="10" defaultRowHeight="15.6" x14ac:dyDescent="0.3"/>
  <cols>
    <col min="1" max="1" width="7.6640625" style="1" bestFit="1" customWidth="1"/>
    <col min="2" max="2" width="11.21875" style="1" bestFit="1" customWidth="1"/>
    <col min="3" max="3" width="6" style="1" bestFit="1" customWidth="1"/>
    <col min="4" max="4" width="4.88671875" style="1" bestFit="1" customWidth="1"/>
    <col min="5" max="5" width="17.109375" style="2" bestFit="1" customWidth="1"/>
    <col min="6" max="7" width="4.5546875" style="2" bestFit="1" customWidth="1"/>
    <col min="8" max="8" width="17.109375" style="1" bestFit="1" customWidth="1"/>
    <col min="9" max="9" width="6.109375" style="1" customWidth="1"/>
    <col min="10" max="10" width="7.77734375" style="1" bestFit="1" customWidth="1"/>
    <col min="11" max="11" width="6.109375" style="1" customWidth="1"/>
    <col min="12" max="16384" width="11.5546875" style="1"/>
  </cols>
  <sheetData>
    <row r="1" spans="1:12" ht="25.8" thickBot="1" x14ac:dyDescent="0.35">
      <c r="A1" s="63" t="s">
        <v>0</v>
      </c>
      <c r="B1" s="64"/>
      <c r="C1" s="64"/>
      <c r="D1" s="64"/>
      <c r="E1" s="64"/>
      <c r="F1" s="64"/>
      <c r="G1" s="64"/>
      <c r="H1" s="65"/>
    </row>
    <row r="2" spans="1:12" ht="16.2" thickBot="1" x14ac:dyDescent="0.35">
      <c r="A2" s="66"/>
      <c r="B2" s="67"/>
      <c r="C2" s="67"/>
      <c r="D2" s="67"/>
      <c r="E2" s="67"/>
      <c r="F2" s="67"/>
      <c r="G2" s="67"/>
      <c r="H2" s="68"/>
    </row>
    <row r="3" spans="1:12" s="2" customFormat="1" ht="16.2" thickBot="1" x14ac:dyDescent="0.35">
      <c r="A3" s="3"/>
      <c r="B3" s="4" t="s">
        <v>1</v>
      </c>
      <c r="C3" s="4" t="s">
        <v>2</v>
      </c>
      <c r="D3" s="4" t="s">
        <v>3</v>
      </c>
      <c r="E3" s="5" t="s">
        <v>4</v>
      </c>
      <c r="F3" s="6" t="s">
        <v>5</v>
      </c>
      <c r="G3" s="6" t="s">
        <v>5</v>
      </c>
      <c r="H3" s="4" t="s">
        <v>6</v>
      </c>
      <c r="J3" s="30" t="s">
        <v>71</v>
      </c>
      <c r="L3" s="2" t="s">
        <v>73</v>
      </c>
    </row>
    <row r="4" spans="1:12" ht="16.2" thickBot="1" x14ac:dyDescent="0.35">
      <c r="A4" s="90" t="s">
        <v>7</v>
      </c>
      <c r="B4" s="7">
        <v>46184</v>
      </c>
      <c r="C4" s="8">
        <v>0.875</v>
      </c>
      <c r="D4" s="9" t="s">
        <v>8</v>
      </c>
      <c r="E4" s="10" t="s">
        <v>9</v>
      </c>
      <c r="F4" s="11">
        <v>2</v>
      </c>
      <c r="G4" s="11">
        <v>0</v>
      </c>
      <c r="H4" s="20" t="s">
        <v>10</v>
      </c>
      <c r="L4" s="1">
        <f>SUM(J:J)</f>
        <v>4</v>
      </c>
    </row>
    <row r="5" spans="1:12" ht="16.2" thickBot="1" x14ac:dyDescent="0.35">
      <c r="A5" s="91"/>
      <c r="B5" s="7">
        <v>46185</v>
      </c>
      <c r="C5" s="8">
        <v>0.16666666666666666</v>
      </c>
      <c r="D5" s="9" t="s">
        <v>8</v>
      </c>
      <c r="E5" s="10" t="s">
        <v>11</v>
      </c>
      <c r="F5" s="11">
        <v>2</v>
      </c>
      <c r="G5" s="11">
        <v>1</v>
      </c>
      <c r="H5" s="20" t="s">
        <v>12</v>
      </c>
    </row>
    <row r="6" spans="1:12" ht="16.2" thickBot="1" x14ac:dyDescent="0.35">
      <c r="A6" s="91"/>
      <c r="B6" s="7">
        <v>46191</v>
      </c>
      <c r="C6" s="8">
        <v>0.75</v>
      </c>
      <c r="D6" s="9" t="s">
        <v>13</v>
      </c>
      <c r="E6" s="10" t="s">
        <v>12</v>
      </c>
      <c r="F6" s="25">
        <v>2</v>
      </c>
      <c r="G6" s="25">
        <v>0</v>
      </c>
      <c r="H6" s="20" t="s">
        <v>10</v>
      </c>
      <c r="J6" s="1" t="str">
        <f>IF(OR(Resultados!F6="",Resultados!G6=""),"",IF(AND(F6=Resultados!F6,G6=Resultados!G6),2,IF(((F6&gt;G6)=(Resultados!F6&gt;Resultados!G6))*((F6&lt;G6)=(Resultados!F6&lt;Resultados!G6)),1,0)))</f>
        <v/>
      </c>
    </row>
    <row r="7" spans="1:12" ht="16.2" thickBot="1" x14ac:dyDescent="0.35">
      <c r="A7" s="91"/>
      <c r="B7" s="7">
        <v>46192</v>
      </c>
      <c r="C7" s="8">
        <v>0.125</v>
      </c>
      <c r="D7" s="9" t="s">
        <v>13</v>
      </c>
      <c r="E7" s="10" t="s">
        <v>9</v>
      </c>
      <c r="F7" s="25">
        <v>2</v>
      </c>
      <c r="G7" s="25">
        <v>1</v>
      </c>
      <c r="H7" s="20" t="s">
        <v>11</v>
      </c>
      <c r="J7" s="1" t="str">
        <f>IF(OR(Resultados!F7="",Resultados!G7=""),"",IF(AND(F7=Resultados!F7,G7=Resultados!G7),2,IF(((F7&gt;G7)=(Resultados!F7&gt;Resultados!G7))*((F7&lt;G7)=(Resultados!F7&lt;Resultados!G7)),1,0)))</f>
        <v/>
      </c>
    </row>
    <row r="8" spans="1:12" ht="16.2" thickBot="1" x14ac:dyDescent="0.35">
      <c r="A8" s="91"/>
      <c r="B8" s="7">
        <v>46198</v>
      </c>
      <c r="C8" s="8">
        <v>0.125</v>
      </c>
      <c r="D8" s="9" t="s">
        <v>14</v>
      </c>
      <c r="E8" s="10" t="s">
        <v>12</v>
      </c>
      <c r="F8" s="25">
        <v>0</v>
      </c>
      <c r="G8" s="25">
        <v>1</v>
      </c>
      <c r="H8" s="20" t="s">
        <v>9</v>
      </c>
      <c r="J8" s="1" t="str">
        <f>IF(OR(Resultados!F8="",Resultados!G8=""),"",IF(AND(F8=Resultados!F8,G8=Resultados!G8),2,IF(((F8&gt;G8)=(Resultados!F8&gt;Resultados!G8))*((F8&lt;G8)=(Resultados!F8&lt;Resultados!G8)),1,0)))</f>
        <v/>
      </c>
    </row>
    <row r="9" spans="1:12" ht="16.2" thickBot="1" x14ac:dyDescent="0.35">
      <c r="A9" s="92"/>
      <c r="B9" s="12">
        <v>46198</v>
      </c>
      <c r="C9" s="13">
        <v>0.125</v>
      </c>
      <c r="D9" s="14" t="s">
        <v>14</v>
      </c>
      <c r="E9" s="15" t="s">
        <v>10</v>
      </c>
      <c r="F9" s="25">
        <v>0</v>
      </c>
      <c r="G9" s="25">
        <v>2</v>
      </c>
      <c r="H9" s="21" t="s">
        <v>11</v>
      </c>
      <c r="J9" s="1" t="str">
        <f>IF(OR(Resultados!F9="",Resultados!G9=""),"",IF(AND(F9=Resultados!F9,G9=Resultados!G9),2,IF(((F9&gt;G9)=(Resultados!F9&gt;Resultados!G9))*((F9&lt;G9)=(Resultados!F9&lt;Resultados!G9)),1,0)))</f>
        <v/>
      </c>
    </row>
    <row r="10" spans="1:12" ht="16.2" thickBot="1" x14ac:dyDescent="0.35">
      <c r="A10" s="17"/>
      <c r="B10" s="18"/>
      <c r="C10" s="18"/>
      <c r="D10" s="18"/>
      <c r="E10" s="18"/>
      <c r="F10" s="18"/>
      <c r="G10" s="18"/>
      <c r="H10" s="22"/>
    </row>
    <row r="11" spans="1:12" ht="16.2" thickBot="1" x14ac:dyDescent="0.35">
      <c r="A11" s="16"/>
      <c r="B11" s="4" t="s">
        <v>1</v>
      </c>
      <c r="C11" s="4" t="s">
        <v>2</v>
      </c>
      <c r="D11" s="4" t="s">
        <v>3</v>
      </c>
      <c r="E11" s="5" t="s">
        <v>4</v>
      </c>
      <c r="F11" s="6" t="s">
        <v>5</v>
      </c>
      <c r="G11" s="6" t="s">
        <v>5</v>
      </c>
      <c r="H11" s="23" t="s">
        <v>6</v>
      </c>
    </row>
    <row r="12" spans="1:12" ht="16.2" thickBot="1" x14ac:dyDescent="0.35">
      <c r="A12" s="93" t="s">
        <v>15</v>
      </c>
      <c r="B12" s="7">
        <v>46185</v>
      </c>
      <c r="C12" s="8">
        <v>0.875</v>
      </c>
      <c r="D12" s="9" t="s">
        <v>8</v>
      </c>
      <c r="E12" s="10" t="s">
        <v>16</v>
      </c>
      <c r="F12" s="11">
        <v>1</v>
      </c>
      <c r="G12" s="11">
        <v>1</v>
      </c>
      <c r="H12" s="21" t="s">
        <v>17</v>
      </c>
    </row>
    <row r="13" spans="1:12" ht="16.2" thickBot="1" x14ac:dyDescent="0.35">
      <c r="A13" s="94"/>
      <c r="B13" s="7">
        <v>46186</v>
      </c>
      <c r="C13" s="8">
        <v>0.875</v>
      </c>
      <c r="D13" s="9" t="s">
        <v>8</v>
      </c>
      <c r="E13" s="10" t="s">
        <v>18</v>
      </c>
      <c r="F13" s="11">
        <v>1</v>
      </c>
      <c r="G13" s="11">
        <v>1</v>
      </c>
      <c r="H13" s="21" t="s">
        <v>19</v>
      </c>
    </row>
    <row r="14" spans="1:12" ht="16.2" thickBot="1" x14ac:dyDescent="0.35">
      <c r="A14" s="94"/>
      <c r="B14" s="7">
        <v>46191</v>
      </c>
      <c r="C14" s="8">
        <v>0.875</v>
      </c>
      <c r="D14" s="9" t="s">
        <v>13</v>
      </c>
      <c r="E14" s="10" t="s">
        <v>19</v>
      </c>
      <c r="F14" s="25">
        <v>1</v>
      </c>
      <c r="G14" s="25">
        <v>1</v>
      </c>
      <c r="H14" s="21" t="s">
        <v>17</v>
      </c>
      <c r="J14" s="1" t="str">
        <f>IF(OR(Resultados!F14="",Resultados!G14=""),"",IF(AND(F14=Resultados!F14,G14=Resultados!G14),2,IF(((F14&gt;G14)=(Resultados!F14&gt;Resultados!G14))*((F14&lt;G14)=(Resultados!F14&lt;Resultados!G14)),1,0)))</f>
        <v/>
      </c>
    </row>
    <row r="15" spans="1:12" ht="16.2" thickBot="1" x14ac:dyDescent="0.35">
      <c r="A15" s="94"/>
      <c r="B15" s="7">
        <v>46192</v>
      </c>
      <c r="C15" s="8">
        <v>0</v>
      </c>
      <c r="D15" s="9" t="s">
        <v>13</v>
      </c>
      <c r="E15" s="10" t="s">
        <v>16</v>
      </c>
      <c r="F15" s="25">
        <v>2</v>
      </c>
      <c r="G15" s="25">
        <v>1</v>
      </c>
      <c r="H15" s="21" t="s">
        <v>18</v>
      </c>
      <c r="J15" s="1" t="str">
        <f>IF(OR(Resultados!F15="",Resultados!G15=""),"",IF(AND(F15=Resultados!F15,G15=Resultados!G15),2,IF(((F15&gt;G15)=(Resultados!F15&gt;Resultados!G15))*((F15&lt;G15)=(Resultados!F15&lt;Resultados!G15)),1,0)))</f>
        <v/>
      </c>
    </row>
    <row r="16" spans="1:12" ht="16.2" thickBot="1" x14ac:dyDescent="0.35">
      <c r="A16" s="94"/>
      <c r="B16" s="7">
        <v>46197</v>
      </c>
      <c r="C16" s="8">
        <v>0.875</v>
      </c>
      <c r="D16" s="9" t="s">
        <v>14</v>
      </c>
      <c r="E16" s="10" t="s">
        <v>19</v>
      </c>
      <c r="F16" s="25">
        <v>1</v>
      </c>
      <c r="G16" s="25">
        <v>1</v>
      </c>
      <c r="H16" s="21" t="s">
        <v>16</v>
      </c>
      <c r="J16" s="1" t="str">
        <f>IF(OR(Resultados!F16="",Resultados!G16=""),"",IF(AND(F16=Resultados!F16,G16=Resultados!G16),2,IF(((F16&gt;G16)=(Resultados!F16&gt;Resultados!G16))*((F16&lt;G16)=(Resultados!F16&lt;Resultados!G16)),1,0)))</f>
        <v/>
      </c>
    </row>
    <row r="17" spans="1:10" ht="16.2" thickBot="1" x14ac:dyDescent="0.35">
      <c r="A17" s="95"/>
      <c r="B17" s="12">
        <v>46197</v>
      </c>
      <c r="C17" s="13">
        <v>0.875</v>
      </c>
      <c r="D17" s="14" t="s">
        <v>14</v>
      </c>
      <c r="E17" s="15" t="s">
        <v>17</v>
      </c>
      <c r="F17" s="25">
        <v>1</v>
      </c>
      <c r="G17" s="25">
        <v>0</v>
      </c>
      <c r="H17" s="21" t="s">
        <v>18</v>
      </c>
      <c r="J17" s="1" t="str">
        <f>IF(OR(Resultados!F17="",Resultados!G17=""),"",IF(AND(F17=Resultados!F17,G17=Resultados!G17),2,IF(((F17&gt;G17)=(Resultados!F17&gt;Resultados!G17))*((F17&lt;G17)=(Resultados!F17&lt;Resultados!G17)),1,0)))</f>
        <v/>
      </c>
    </row>
    <row r="18" spans="1:10" ht="16.2" thickBot="1" x14ac:dyDescent="0.35">
      <c r="A18" s="17"/>
      <c r="B18" s="18"/>
      <c r="C18" s="18"/>
      <c r="D18" s="18"/>
      <c r="E18" s="18"/>
      <c r="F18" s="18"/>
      <c r="G18" s="18"/>
      <c r="H18" s="22"/>
    </row>
    <row r="19" spans="1:10" ht="16.2" thickBot="1" x14ac:dyDescent="0.35">
      <c r="A19" s="16"/>
      <c r="B19" s="4" t="s">
        <v>1</v>
      </c>
      <c r="C19" s="4" t="s">
        <v>2</v>
      </c>
      <c r="D19" s="4" t="s">
        <v>3</v>
      </c>
      <c r="E19" s="5" t="s">
        <v>4</v>
      </c>
      <c r="F19" s="6" t="s">
        <v>5</v>
      </c>
      <c r="G19" s="6" t="s">
        <v>5</v>
      </c>
      <c r="H19" s="23" t="s">
        <v>6</v>
      </c>
    </row>
    <row r="20" spans="1:10" ht="16.2" thickBot="1" x14ac:dyDescent="0.35">
      <c r="A20" s="96" t="s">
        <v>20</v>
      </c>
      <c r="B20" s="7">
        <v>46187</v>
      </c>
      <c r="C20" s="8">
        <v>0</v>
      </c>
      <c r="D20" s="9" t="s">
        <v>8</v>
      </c>
      <c r="E20" s="10" t="s">
        <v>21</v>
      </c>
      <c r="F20" s="11">
        <v>1</v>
      </c>
      <c r="G20" s="11">
        <v>1</v>
      </c>
      <c r="H20" s="21" t="s">
        <v>22</v>
      </c>
    </row>
    <row r="21" spans="1:10" ht="16.2" thickBot="1" x14ac:dyDescent="0.35">
      <c r="A21" s="97"/>
      <c r="B21" s="7">
        <v>46187</v>
      </c>
      <c r="C21" s="8">
        <v>0.125</v>
      </c>
      <c r="D21" s="9" t="s">
        <v>8</v>
      </c>
      <c r="E21" s="10" t="s">
        <v>23</v>
      </c>
      <c r="F21" s="26">
        <v>0</v>
      </c>
      <c r="G21" s="26">
        <v>1</v>
      </c>
      <c r="H21" s="21" t="s">
        <v>24</v>
      </c>
      <c r="J21" s="1">
        <f>IF(OR(Resultados!F21="",Resultados!G21=""),"",IF(AND(F21=Resultados!F21,G21=Resultados!G21),2,IF(((F21&gt;G21)=(Resultados!F21&gt;Resultados!G21))*((F21&lt;G21)=(Resultados!F21&lt;Resultados!G21)),1,0)))</f>
        <v>2</v>
      </c>
    </row>
    <row r="22" spans="1:10" ht="16.2" thickBot="1" x14ac:dyDescent="0.35">
      <c r="A22" s="97"/>
      <c r="B22" s="7">
        <v>46193</v>
      </c>
      <c r="C22" s="8">
        <v>0</v>
      </c>
      <c r="D22" s="9" t="s">
        <v>13</v>
      </c>
      <c r="E22" s="10" t="s">
        <v>24</v>
      </c>
      <c r="F22" s="25">
        <v>0</v>
      </c>
      <c r="G22" s="25">
        <v>3</v>
      </c>
      <c r="H22" s="21" t="s">
        <v>22</v>
      </c>
      <c r="J22" s="1" t="str">
        <f>IF(OR(Resultados!F22="",Resultados!G22=""),"",IF(AND(F22=Resultados!F22,G22=Resultados!G22),2,IF(((F22&gt;G22)=(Resultados!F22&gt;Resultados!G22))*((F22&lt;G22)=(Resultados!F22&lt;Resultados!G22)),1,0)))</f>
        <v/>
      </c>
    </row>
    <row r="23" spans="1:10" ht="16.2" thickBot="1" x14ac:dyDescent="0.35">
      <c r="A23" s="97"/>
      <c r="B23" s="7">
        <v>46193</v>
      </c>
      <c r="C23" s="8">
        <v>0.10416666666666667</v>
      </c>
      <c r="D23" s="9" t="s">
        <v>13</v>
      </c>
      <c r="E23" s="10" t="s">
        <v>21</v>
      </c>
      <c r="F23" s="25">
        <v>5</v>
      </c>
      <c r="G23" s="25">
        <v>0</v>
      </c>
      <c r="H23" s="21" t="s">
        <v>23</v>
      </c>
      <c r="J23" s="1" t="str">
        <f>IF(OR(Resultados!F23="",Resultados!G23=""),"",IF(AND(F23=Resultados!F23,G23=Resultados!G23),2,IF(((F23&gt;G23)=(Resultados!F23&gt;Resultados!G23))*((F23&lt;G23)=(Resultados!F23&lt;Resultados!G23)),1,0)))</f>
        <v/>
      </c>
    </row>
    <row r="24" spans="1:10" ht="16.2" thickBot="1" x14ac:dyDescent="0.35">
      <c r="A24" s="97"/>
      <c r="B24" s="7">
        <v>46198</v>
      </c>
      <c r="C24" s="8">
        <v>0</v>
      </c>
      <c r="D24" s="9" t="s">
        <v>14</v>
      </c>
      <c r="E24" s="10" t="s">
        <v>24</v>
      </c>
      <c r="F24" s="25">
        <v>0</v>
      </c>
      <c r="G24" s="25">
        <v>3</v>
      </c>
      <c r="H24" s="21" t="s">
        <v>21</v>
      </c>
      <c r="J24" s="1" t="str">
        <f>IF(OR(Resultados!F24="",Resultados!G24=""),"",IF(AND(F24=Resultados!F24,G24=Resultados!G24),2,IF(((F24&gt;G24)=(Resultados!F24&gt;Resultados!G24))*((F24&lt;G24)=(Resultados!F24&lt;Resultados!G24)),1,0)))</f>
        <v/>
      </c>
    </row>
    <row r="25" spans="1:10" ht="16.2" thickBot="1" x14ac:dyDescent="0.35">
      <c r="A25" s="98"/>
      <c r="B25" s="12">
        <v>46198</v>
      </c>
      <c r="C25" s="13">
        <v>0</v>
      </c>
      <c r="D25" s="14" t="s">
        <v>14</v>
      </c>
      <c r="E25" s="15" t="s">
        <v>22</v>
      </c>
      <c r="F25" s="25">
        <v>4</v>
      </c>
      <c r="G25" s="25">
        <v>0</v>
      </c>
      <c r="H25" s="21" t="s">
        <v>23</v>
      </c>
      <c r="J25" s="1" t="str">
        <f>IF(OR(Resultados!F25="",Resultados!G25=""),"",IF(AND(F25=Resultados!F25,G25=Resultados!G25),2,IF(((F25&gt;G25)=(Resultados!F25&gt;Resultados!G25))*((F25&lt;G25)=(Resultados!F25&lt;Resultados!G25)),1,0)))</f>
        <v/>
      </c>
    </row>
    <row r="26" spans="1:10" ht="16.2" thickBot="1" x14ac:dyDescent="0.35">
      <c r="A26" s="19"/>
      <c r="B26" s="19"/>
      <c r="C26" s="19"/>
      <c r="D26" s="19"/>
      <c r="E26" s="19"/>
      <c r="F26" s="19"/>
      <c r="G26" s="19"/>
      <c r="H26" s="24"/>
    </row>
    <row r="27" spans="1:10" ht="16.2" thickBot="1" x14ac:dyDescent="0.35">
      <c r="A27" s="16"/>
      <c r="B27" s="4" t="s">
        <v>1</v>
      </c>
      <c r="C27" s="4" t="s">
        <v>2</v>
      </c>
      <c r="D27" s="4" t="s">
        <v>3</v>
      </c>
      <c r="E27" s="5" t="s">
        <v>4</v>
      </c>
      <c r="F27" s="6" t="s">
        <v>5</v>
      </c>
      <c r="G27" s="6" t="s">
        <v>5</v>
      </c>
      <c r="H27" s="23" t="s">
        <v>6</v>
      </c>
    </row>
    <row r="28" spans="1:10" ht="16.2" thickBot="1" x14ac:dyDescent="0.35">
      <c r="A28" s="99" t="s">
        <v>25</v>
      </c>
      <c r="B28" s="7">
        <v>46186</v>
      </c>
      <c r="C28" s="8">
        <v>0.125</v>
      </c>
      <c r="D28" s="9" t="s">
        <v>8</v>
      </c>
      <c r="E28" s="10" t="s">
        <v>26</v>
      </c>
      <c r="F28" s="11">
        <v>4</v>
      </c>
      <c r="G28" s="11">
        <v>1</v>
      </c>
      <c r="H28" s="21" t="s">
        <v>27</v>
      </c>
    </row>
    <row r="29" spans="1:10" ht="16.2" thickBot="1" x14ac:dyDescent="0.35">
      <c r="A29" s="100"/>
      <c r="B29" s="7">
        <v>46187</v>
      </c>
      <c r="C29" s="8">
        <v>0.25</v>
      </c>
      <c r="D29" s="9" t="s">
        <v>8</v>
      </c>
      <c r="E29" s="10" t="s">
        <v>28</v>
      </c>
      <c r="F29" s="26">
        <v>0</v>
      </c>
      <c r="G29" s="26">
        <v>2</v>
      </c>
      <c r="H29" s="21" t="s">
        <v>29</v>
      </c>
      <c r="J29" s="1">
        <f>IF(OR(Resultados!F29="",Resultados!G29=""),"",IF(AND(F29=Resultados!F29,G29=Resultados!G29),2,IF(((F29&gt;G29)=(Resultados!F29&gt;Resultados!G29))*((F29&lt;G29)=(Resultados!F29&lt;Resultados!G29)),1,0)))</f>
        <v>0</v>
      </c>
    </row>
    <row r="30" spans="1:10" ht="16.2" thickBot="1" x14ac:dyDescent="0.35">
      <c r="A30" s="100"/>
      <c r="B30" s="7">
        <v>46192</v>
      </c>
      <c r="C30" s="8">
        <v>0.875</v>
      </c>
      <c r="D30" s="9" t="s">
        <v>13</v>
      </c>
      <c r="E30" s="10" t="s">
        <v>26</v>
      </c>
      <c r="F30" s="25">
        <v>3</v>
      </c>
      <c r="G30" s="25">
        <v>0</v>
      </c>
      <c r="H30" s="21" t="s">
        <v>28</v>
      </c>
      <c r="J30" s="1" t="str">
        <f>IF(OR(Resultados!F30="",Resultados!G30=""),"",IF(AND(F30=Resultados!F30,G30=Resultados!G30),2,IF(((F30&gt;G30)=(Resultados!F30&gt;Resultados!G30))*((F30&lt;G30)=(Resultados!F30&lt;Resultados!G30)),1,0)))</f>
        <v/>
      </c>
    </row>
    <row r="31" spans="1:10" ht="16.2" thickBot="1" x14ac:dyDescent="0.35">
      <c r="A31" s="100"/>
      <c r="B31" s="7">
        <v>46193</v>
      </c>
      <c r="C31" s="8">
        <v>0.20833333333333334</v>
      </c>
      <c r="D31" s="9" t="s">
        <v>13</v>
      </c>
      <c r="E31" s="10" t="s">
        <v>29</v>
      </c>
      <c r="F31" s="25">
        <v>1</v>
      </c>
      <c r="G31" s="25">
        <v>1</v>
      </c>
      <c r="H31" s="21" t="s">
        <v>27</v>
      </c>
      <c r="J31" s="1" t="str">
        <f>IF(OR(Resultados!F31="",Resultados!G31=""),"",IF(AND(F31=Resultados!F31,G31=Resultados!G31),2,IF(((F31&gt;G31)=(Resultados!F31&gt;Resultados!G31))*((F31&lt;G31)=(Resultados!F31&lt;Resultados!G31)),1,0)))</f>
        <v/>
      </c>
    </row>
    <row r="32" spans="1:10" ht="16.2" thickBot="1" x14ac:dyDescent="0.35">
      <c r="A32" s="100"/>
      <c r="B32" s="7">
        <v>46199</v>
      </c>
      <c r="C32" s="8">
        <v>0.16666666666666666</v>
      </c>
      <c r="D32" s="9" t="s">
        <v>14</v>
      </c>
      <c r="E32" s="10" t="s">
        <v>29</v>
      </c>
      <c r="F32" s="25">
        <v>0</v>
      </c>
      <c r="G32" s="25">
        <v>2</v>
      </c>
      <c r="H32" s="21" t="s">
        <v>26</v>
      </c>
      <c r="J32" s="1" t="str">
        <f>IF(OR(Resultados!F32="",Resultados!G32=""),"",IF(AND(F32=Resultados!F32,G32=Resultados!G32),2,IF(((F32&gt;G32)=(Resultados!F32&gt;Resultados!G32))*((F32&lt;G32)=(Resultados!F32&lt;Resultados!G32)),1,0)))</f>
        <v/>
      </c>
    </row>
    <row r="33" spans="1:10" ht="16.2" thickBot="1" x14ac:dyDescent="0.35">
      <c r="A33" s="101"/>
      <c r="B33" s="12">
        <v>46199</v>
      </c>
      <c r="C33" s="13">
        <v>0.16666666666666666</v>
      </c>
      <c r="D33" s="14" t="s">
        <v>14</v>
      </c>
      <c r="E33" s="15" t="s">
        <v>27</v>
      </c>
      <c r="F33" s="25">
        <v>1</v>
      </c>
      <c r="G33" s="25">
        <v>0</v>
      </c>
      <c r="H33" s="21" t="s">
        <v>28</v>
      </c>
      <c r="J33" s="1" t="str">
        <f>IF(OR(Resultados!F33="",Resultados!G33=""),"",IF(AND(F33=Resultados!F33,G33=Resultados!G33),2,IF(((F33&gt;G33)=(Resultados!F33&gt;Resultados!G33))*((F33&lt;G33)=(Resultados!F33&lt;Resultados!G33)),1,0)))</f>
        <v/>
      </c>
    </row>
    <row r="34" spans="1:10" ht="16.2" thickBot="1" x14ac:dyDescent="0.35">
      <c r="A34" s="17"/>
      <c r="B34" s="18"/>
      <c r="C34" s="18"/>
      <c r="D34" s="18"/>
      <c r="E34" s="18"/>
      <c r="F34" s="18"/>
      <c r="G34" s="18"/>
      <c r="H34" s="22"/>
    </row>
    <row r="35" spans="1:10" ht="16.2" thickBot="1" x14ac:dyDescent="0.35">
      <c r="A35" s="16"/>
      <c r="B35" s="4" t="s">
        <v>1</v>
      </c>
      <c r="C35" s="4" t="s">
        <v>2</v>
      </c>
      <c r="D35" s="4" t="s">
        <v>3</v>
      </c>
      <c r="E35" s="5" t="s">
        <v>4</v>
      </c>
      <c r="F35" s="6" t="s">
        <v>5</v>
      </c>
      <c r="G35" s="6" t="s">
        <v>5</v>
      </c>
      <c r="H35" s="23" t="s">
        <v>6</v>
      </c>
    </row>
    <row r="36" spans="1:10" ht="16.2" thickBot="1" x14ac:dyDescent="0.35">
      <c r="A36" s="102" t="s">
        <v>30</v>
      </c>
      <c r="B36" s="7">
        <v>46187</v>
      </c>
      <c r="C36" s="8">
        <v>0.79166666666666663</v>
      </c>
      <c r="D36" s="9" t="s">
        <v>8</v>
      </c>
      <c r="E36" s="10" t="s">
        <v>31</v>
      </c>
      <c r="F36" s="26">
        <v>5</v>
      </c>
      <c r="G36" s="26">
        <v>0</v>
      </c>
      <c r="H36" s="21" t="s">
        <v>32</v>
      </c>
      <c r="J36" s="1">
        <f>IF(OR(Resultados!F36="",Resultados!G36=""),"",IF(AND(F36=Resultados!F36,G36=Resultados!G36),2,IF(((F36&gt;G36)=(Resultados!F36&gt;Resultados!G36))*((F36&lt;G36)=(Resultados!F36&lt;Resultados!G36)),1,0)))</f>
        <v>1</v>
      </c>
    </row>
    <row r="37" spans="1:10" ht="16.2" thickBot="1" x14ac:dyDescent="0.35">
      <c r="A37" s="103"/>
      <c r="B37" s="7">
        <v>46188</v>
      </c>
      <c r="C37" s="8">
        <v>4.1666666666666664E-2</v>
      </c>
      <c r="D37" s="9" t="s">
        <v>8</v>
      </c>
      <c r="E37" s="10" t="s">
        <v>33</v>
      </c>
      <c r="F37" s="26">
        <v>1</v>
      </c>
      <c r="G37" s="26">
        <v>1</v>
      </c>
      <c r="H37" s="21" t="s">
        <v>34</v>
      </c>
      <c r="J37" s="1">
        <f>IF(OR(Resultados!F37="",Resultados!G37=""),"",IF(AND(F37=Resultados!F37,G37=Resultados!G37),2,IF(((F37&gt;G37)=(Resultados!F37&gt;Resultados!G37))*((F37&lt;G37)=(Resultados!F37&lt;Resultados!G37)),1,0)))</f>
        <v>0</v>
      </c>
    </row>
    <row r="38" spans="1:10" ht="16.2" thickBot="1" x14ac:dyDescent="0.35">
      <c r="A38" s="103"/>
      <c r="B38" s="7">
        <v>46193</v>
      </c>
      <c r="C38" s="8">
        <v>0.91666666666666663</v>
      </c>
      <c r="D38" s="9" t="s">
        <v>13</v>
      </c>
      <c r="E38" s="10" t="s">
        <v>31</v>
      </c>
      <c r="F38" s="25">
        <v>2</v>
      </c>
      <c r="G38" s="25">
        <v>1</v>
      </c>
      <c r="H38" s="21" t="s">
        <v>33</v>
      </c>
      <c r="J38" s="1" t="str">
        <f>IF(OR(Resultados!F38="",Resultados!G38=""),"",IF(AND(F38=Resultados!F38,G38=Resultados!G38),2,IF(((F38&gt;G38)=(Resultados!F38&gt;Resultados!G38))*((F38&lt;G38)=(Resultados!F38&lt;Resultados!G38)),1,0)))</f>
        <v/>
      </c>
    </row>
    <row r="39" spans="1:10" ht="16.2" thickBot="1" x14ac:dyDescent="0.35">
      <c r="A39" s="103"/>
      <c r="B39" s="7">
        <v>46194</v>
      </c>
      <c r="C39" s="8">
        <v>8.3333333333333329E-2</v>
      </c>
      <c r="D39" s="9" t="s">
        <v>13</v>
      </c>
      <c r="E39" s="10" t="s">
        <v>34</v>
      </c>
      <c r="F39" s="25">
        <v>3</v>
      </c>
      <c r="G39" s="25">
        <v>0</v>
      </c>
      <c r="H39" s="21" t="s">
        <v>32</v>
      </c>
      <c r="J39" s="1" t="str">
        <f>IF(OR(Resultados!F39="",Resultados!G39=""),"",IF(AND(F39=Resultados!F39,G39=Resultados!G39),2,IF(((F39&gt;G39)=(Resultados!F39&gt;Resultados!G39))*((F39&lt;G39)=(Resultados!F39&lt;Resultados!G39)),1,0)))</f>
        <v/>
      </c>
    </row>
    <row r="40" spans="1:10" ht="16.2" thickBot="1" x14ac:dyDescent="0.35">
      <c r="A40" s="103"/>
      <c r="B40" s="7">
        <v>46198</v>
      </c>
      <c r="C40" s="8">
        <v>0.91666666666666663</v>
      </c>
      <c r="D40" s="9" t="s">
        <v>14</v>
      </c>
      <c r="E40" s="10" t="s">
        <v>32</v>
      </c>
      <c r="F40" s="25">
        <v>0</v>
      </c>
      <c r="G40" s="25">
        <v>2</v>
      </c>
      <c r="H40" s="21" t="s">
        <v>33</v>
      </c>
      <c r="J40" s="1" t="str">
        <f>IF(OR(Resultados!F40="",Resultados!G40=""),"",IF(AND(F40=Resultados!F40,G40=Resultados!G40),2,IF(((F40&gt;G40)=(Resultados!F40&gt;Resultados!G40))*((F40&lt;G40)=(Resultados!F40&lt;Resultados!G40)),1,0)))</f>
        <v/>
      </c>
    </row>
    <row r="41" spans="1:10" ht="16.2" thickBot="1" x14ac:dyDescent="0.35">
      <c r="A41" s="104"/>
      <c r="B41" s="12">
        <v>46198</v>
      </c>
      <c r="C41" s="13">
        <v>0.91666666666666663</v>
      </c>
      <c r="D41" s="14" t="s">
        <v>14</v>
      </c>
      <c r="E41" s="15" t="s">
        <v>34</v>
      </c>
      <c r="F41" s="25">
        <v>1</v>
      </c>
      <c r="G41" s="25">
        <v>3</v>
      </c>
      <c r="H41" s="21" t="s">
        <v>31</v>
      </c>
      <c r="J41" s="1" t="str">
        <f>IF(OR(Resultados!F41="",Resultados!G41=""),"",IF(AND(F41=Resultados!F41,G41=Resultados!G41),2,IF(((F41&gt;G41)=(Resultados!F41&gt;Resultados!G41))*((F41&lt;G41)=(Resultados!F41&lt;Resultados!G41)),1,0)))</f>
        <v/>
      </c>
    </row>
    <row r="42" spans="1:10" ht="16.2" thickBot="1" x14ac:dyDescent="0.35">
      <c r="A42" s="17"/>
      <c r="B42" s="18"/>
      <c r="C42" s="18"/>
      <c r="D42" s="18"/>
      <c r="E42" s="18"/>
      <c r="F42" s="18"/>
      <c r="G42" s="18"/>
      <c r="H42" s="22"/>
    </row>
    <row r="43" spans="1:10" ht="16.2" thickBot="1" x14ac:dyDescent="0.35">
      <c r="A43" s="16"/>
      <c r="B43" s="4" t="s">
        <v>1</v>
      </c>
      <c r="C43" s="4" t="s">
        <v>2</v>
      </c>
      <c r="D43" s="4" t="s">
        <v>3</v>
      </c>
      <c r="E43" s="5" t="s">
        <v>4</v>
      </c>
      <c r="F43" s="6" t="s">
        <v>5</v>
      </c>
      <c r="G43" s="6" t="s">
        <v>5</v>
      </c>
      <c r="H43" s="23" t="s">
        <v>6</v>
      </c>
    </row>
    <row r="44" spans="1:10" ht="16.2" thickBot="1" x14ac:dyDescent="0.35">
      <c r="A44" s="72" t="s">
        <v>35</v>
      </c>
      <c r="B44" s="7">
        <v>46187</v>
      </c>
      <c r="C44" s="8">
        <v>0.91666666666666663</v>
      </c>
      <c r="D44" s="9" t="s">
        <v>8</v>
      </c>
      <c r="E44" s="10" t="s">
        <v>36</v>
      </c>
      <c r="F44" s="26">
        <v>1</v>
      </c>
      <c r="G44" s="26">
        <v>1</v>
      </c>
      <c r="H44" s="21" t="s">
        <v>37</v>
      </c>
      <c r="J44" s="1">
        <f>IF(OR(Resultados!F44="",Resultados!G44=""),"",IF(AND(F44=Resultados!F44,G44=Resultados!G44),2,IF(((F44&gt;G44)=(Resultados!F44&gt;Resultados!G44))*((F44&lt;G44)=(Resultados!F44&lt;Resultados!G44)),1,0)))</f>
        <v>1</v>
      </c>
    </row>
    <row r="45" spans="1:10" ht="16.2" thickBot="1" x14ac:dyDescent="0.35">
      <c r="A45" s="73"/>
      <c r="B45" s="7">
        <v>46188</v>
      </c>
      <c r="C45" s="8">
        <v>0.16666666666666666</v>
      </c>
      <c r="D45" s="9" t="s">
        <v>8</v>
      </c>
      <c r="E45" s="10" t="s">
        <v>38</v>
      </c>
      <c r="F45" s="26">
        <v>2</v>
      </c>
      <c r="G45" s="26">
        <v>2</v>
      </c>
      <c r="H45" s="21" t="s">
        <v>39</v>
      </c>
      <c r="J45" s="1">
        <f>IF(OR(Resultados!F45="",Resultados!G45=""),"",IF(AND(F45=Resultados!F45,G45=Resultados!G45),2,IF(((F45&gt;G45)=(Resultados!F45&gt;Resultados!G45))*((F45&lt;G45)=(Resultados!F45&lt;Resultados!G45)),1,0)))</f>
        <v>0</v>
      </c>
    </row>
    <row r="46" spans="1:10" ht="16.2" thickBot="1" x14ac:dyDescent="0.35">
      <c r="A46" s="73"/>
      <c r="B46" s="7">
        <v>46193</v>
      </c>
      <c r="C46" s="8">
        <v>0.79166666666666663</v>
      </c>
      <c r="D46" s="9" t="s">
        <v>13</v>
      </c>
      <c r="E46" s="10" t="s">
        <v>36</v>
      </c>
      <c r="F46" s="25">
        <v>2</v>
      </c>
      <c r="G46" s="25">
        <v>2</v>
      </c>
      <c r="H46" s="21" t="s">
        <v>38</v>
      </c>
      <c r="J46" s="1" t="str">
        <f>IF(OR(Resultados!F46="",Resultados!G46=""),"",IF(AND(F46=Resultados!F46,G46=Resultados!G46),2,IF(((F46&gt;G46)=(Resultados!F46&gt;Resultados!G46))*((F46&lt;G46)=(Resultados!F46&lt;Resultados!G46)),1,0)))</f>
        <v/>
      </c>
    </row>
    <row r="47" spans="1:10" ht="16.2" thickBot="1" x14ac:dyDescent="0.35">
      <c r="A47" s="73"/>
      <c r="B47" s="7">
        <v>46194</v>
      </c>
      <c r="C47" s="8">
        <v>0.25</v>
      </c>
      <c r="D47" s="9" t="s">
        <v>13</v>
      </c>
      <c r="E47" s="10" t="s">
        <v>39</v>
      </c>
      <c r="F47" s="25">
        <v>1</v>
      </c>
      <c r="G47" s="25">
        <v>1</v>
      </c>
      <c r="H47" s="21" t="s">
        <v>37</v>
      </c>
      <c r="J47" s="1" t="str">
        <f>IF(OR(Resultados!F47="",Resultados!G47=""),"",IF(AND(F47=Resultados!F47,G47=Resultados!G47),2,IF(((F47&gt;G47)=(Resultados!F47&gt;Resultados!G47))*((F47&lt;G47)=(Resultados!F47&lt;Resultados!G47)),1,0)))</f>
        <v/>
      </c>
    </row>
    <row r="48" spans="1:10" ht="16.2" thickBot="1" x14ac:dyDescent="0.35">
      <c r="A48" s="73"/>
      <c r="B48" s="7">
        <v>46199</v>
      </c>
      <c r="C48" s="8">
        <v>4.1666666666666664E-2</v>
      </c>
      <c r="D48" s="9" t="s">
        <v>14</v>
      </c>
      <c r="E48" s="10" t="s">
        <v>37</v>
      </c>
      <c r="F48" s="25">
        <v>1</v>
      </c>
      <c r="G48" s="25">
        <v>2</v>
      </c>
      <c r="H48" s="21" t="s">
        <v>38</v>
      </c>
      <c r="J48" s="1" t="str">
        <f>IF(OR(Resultados!F48="",Resultados!G48=""),"",IF(AND(F48=Resultados!F48,G48=Resultados!G48),2,IF(((F48&gt;G48)=(Resultados!F48&gt;Resultados!G48))*((F48&lt;G48)=(Resultados!F48&lt;Resultados!G48)),1,0)))</f>
        <v/>
      </c>
    </row>
    <row r="49" spans="1:10" ht="16.2" thickBot="1" x14ac:dyDescent="0.35">
      <c r="A49" s="74"/>
      <c r="B49" s="12">
        <v>46199</v>
      </c>
      <c r="C49" s="13">
        <v>4.1666666666666664E-2</v>
      </c>
      <c r="D49" s="14" t="s">
        <v>14</v>
      </c>
      <c r="E49" s="15" t="s">
        <v>39</v>
      </c>
      <c r="F49" s="25">
        <v>1</v>
      </c>
      <c r="G49" s="25">
        <v>2</v>
      </c>
      <c r="H49" s="21" t="s">
        <v>36</v>
      </c>
      <c r="J49" s="1" t="str">
        <f>IF(OR(Resultados!F49="",Resultados!G49=""),"",IF(AND(F49=Resultados!F49,G49=Resultados!G49),2,IF(((F49&gt;G49)=(Resultados!F49&gt;Resultados!G49))*((F49&lt;G49)=(Resultados!F49&lt;Resultados!G49)),1,0)))</f>
        <v/>
      </c>
    </row>
    <row r="50" spans="1:10" ht="16.2" thickBot="1" x14ac:dyDescent="0.35">
      <c r="A50" s="17"/>
      <c r="B50" s="18"/>
      <c r="C50" s="18"/>
      <c r="D50" s="18"/>
      <c r="E50" s="18"/>
      <c r="F50" s="18"/>
      <c r="G50" s="18"/>
      <c r="H50" s="22"/>
    </row>
    <row r="51" spans="1:10" ht="16.2" thickBot="1" x14ac:dyDescent="0.35">
      <c r="A51" s="16"/>
      <c r="B51" s="4" t="s">
        <v>1</v>
      </c>
      <c r="C51" s="4" t="s">
        <v>2</v>
      </c>
      <c r="D51" s="4" t="s">
        <v>3</v>
      </c>
      <c r="E51" s="5" t="s">
        <v>4</v>
      </c>
      <c r="F51" s="6" t="s">
        <v>5</v>
      </c>
      <c r="G51" s="6" t="s">
        <v>5</v>
      </c>
      <c r="H51" s="23" t="s">
        <v>6</v>
      </c>
    </row>
    <row r="52" spans="1:10" ht="16.2" thickBot="1" x14ac:dyDescent="0.35">
      <c r="A52" s="75" t="s">
        <v>40</v>
      </c>
      <c r="B52" s="7">
        <v>46188</v>
      </c>
      <c r="C52" s="8">
        <v>0.875</v>
      </c>
      <c r="D52" s="9" t="s">
        <v>8</v>
      </c>
      <c r="E52" s="10" t="s">
        <v>41</v>
      </c>
      <c r="F52" s="26">
        <v>2</v>
      </c>
      <c r="G52" s="26">
        <v>1</v>
      </c>
      <c r="H52" s="21" t="s">
        <v>42</v>
      </c>
      <c r="J52" s="1" t="str">
        <f>IF(OR(Resultados!F52="",Resultados!G52=""),"",IF(AND(F52=Resultados!F52,G52=Resultados!G52),2,IF(((F52&gt;G52)=(Resultados!F52&gt;Resultados!G52))*((F52&lt;G52)=(Resultados!F52&lt;Resultados!G52)),1,0)))</f>
        <v/>
      </c>
    </row>
    <row r="53" spans="1:10" ht="16.2" thickBot="1" x14ac:dyDescent="0.35">
      <c r="A53" s="76"/>
      <c r="B53" s="7">
        <v>46189</v>
      </c>
      <c r="C53" s="8">
        <v>0.125</v>
      </c>
      <c r="D53" s="9" t="s">
        <v>8</v>
      </c>
      <c r="E53" s="10" t="s">
        <v>43</v>
      </c>
      <c r="F53" s="26">
        <v>2</v>
      </c>
      <c r="G53" s="26">
        <v>1</v>
      </c>
      <c r="H53" s="21" t="s">
        <v>44</v>
      </c>
      <c r="J53" s="1" t="str">
        <f>IF(OR(Resultados!F53="",Resultados!G53=""),"",IF(AND(F53=Resultados!F53,G53=Resultados!G53),2,IF(((F53&gt;G53)=(Resultados!F53&gt;Resultados!G53))*((F53&lt;G53)=(Resultados!F53&lt;Resultados!G53)),1,0)))</f>
        <v/>
      </c>
    </row>
    <row r="54" spans="1:10" ht="16.2" thickBot="1" x14ac:dyDescent="0.35">
      <c r="A54" s="76"/>
      <c r="B54" s="7">
        <v>46194</v>
      </c>
      <c r="C54" s="8">
        <v>0.875</v>
      </c>
      <c r="D54" s="9" t="s">
        <v>13</v>
      </c>
      <c r="E54" s="10" t="s">
        <v>41</v>
      </c>
      <c r="F54" s="25">
        <v>2</v>
      </c>
      <c r="G54" s="25">
        <v>2</v>
      </c>
      <c r="H54" s="21" t="s">
        <v>43</v>
      </c>
      <c r="J54" s="1" t="str">
        <f>IF(OR(Resultados!F54="",Resultados!G54=""),"",IF(AND(F54=Resultados!F54,G54=Resultados!G54),2,IF(((F54&gt;G54)=(Resultados!F54&gt;Resultados!G54))*((F54&lt;G54)=(Resultados!F54&lt;Resultados!G54)),1,0)))</f>
        <v/>
      </c>
    </row>
    <row r="55" spans="1:10" ht="16.2" thickBot="1" x14ac:dyDescent="0.35">
      <c r="A55" s="76"/>
      <c r="B55" s="7">
        <v>46195</v>
      </c>
      <c r="C55" s="8">
        <v>0.125</v>
      </c>
      <c r="D55" s="9" t="s">
        <v>13</v>
      </c>
      <c r="E55" s="10" t="s">
        <v>44</v>
      </c>
      <c r="F55" s="25">
        <v>0</v>
      </c>
      <c r="G55" s="25">
        <v>1</v>
      </c>
      <c r="H55" s="21" t="s">
        <v>42</v>
      </c>
      <c r="J55" s="1" t="str">
        <f>IF(OR(Resultados!F55="",Resultados!G55=""),"",IF(AND(F55=Resultados!F55,G55=Resultados!G55),2,IF(((F55&gt;G55)=(Resultados!F55&gt;Resultados!G55))*((F55&lt;G55)=(Resultados!F55&lt;Resultados!G55)),1,0)))</f>
        <v/>
      </c>
    </row>
    <row r="56" spans="1:10" ht="16.2" thickBot="1" x14ac:dyDescent="0.35">
      <c r="A56" s="76"/>
      <c r="B56" s="7">
        <v>46200</v>
      </c>
      <c r="C56" s="8">
        <v>0.20833333333333334</v>
      </c>
      <c r="D56" s="9" t="s">
        <v>14</v>
      </c>
      <c r="E56" s="10" t="s">
        <v>42</v>
      </c>
      <c r="F56" s="25">
        <v>1</v>
      </c>
      <c r="G56" s="25">
        <v>1</v>
      </c>
      <c r="H56" s="21" t="s">
        <v>43</v>
      </c>
      <c r="J56" s="1" t="str">
        <f>IF(OR(Resultados!F56="",Resultados!G56=""),"",IF(AND(F56=Resultados!F56,G56=Resultados!G56),2,IF(((F56&gt;G56)=(Resultados!F56&gt;Resultados!G56))*((F56&lt;G56)=(Resultados!F56&lt;Resultados!G56)),1,0)))</f>
        <v/>
      </c>
    </row>
    <row r="57" spans="1:10" ht="16.2" thickBot="1" x14ac:dyDescent="0.35">
      <c r="A57" s="77"/>
      <c r="B57" s="12">
        <v>46200</v>
      </c>
      <c r="C57" s="13">
        <v>0.20833333333333334</v>
      </c>
      <c r="D57" s="14" t="s">
        <v>14</v>
      </c>
      <c r="E57" s="15" t="s">
        <v>44</v>
      </c>
      <c r="F57" s="25">
        <v>1</v>
      </c>
      <c r="G57" s="25">
        <v>2</v>
      </c>
      <c r="H57" s="21" t="s">
        <v>41</v>
      </c>
      <c r="J57" s="1" t="str">
        <f>IF(OR(Resultados!F57="",Resultados!G57=""),"",IF(AND(F57=Resultados!F57,G57=Resultados!G57),2,IF(((F57&gt;G57)=(Resultados!F57&gt;Resultados!G57))*((F57&lt;G57)=(Resultados!F57&lt;Resultados!G57)),1,0)))</f>
        <v/>
      </c>
    </row>
    <row r="58" spans="1:10" ht="16.2" thickBot="1" x14ac:dyDescent="0.35">
      <c r="A58" s="17"/>
      <c r="B58" s="18"/>
      <c r="C58" s="18"/>
      <c r="D58" s="18"/>
      <c r="E58" s="18"/>
      <c r="F58" s="18"/>
      <c r="G58" s="18"/>
      <c r="H58" s="22"/>
    </row>
    <row r="59" spans="1:10" ht="16.2" thickBot="1" x14ac:dyDescent="0.35">
      <c r="A59" s="16"/>
      <c r="B59" s="4" t="s">
        <v>1</v>
      </c>
      <c r="C59" s="4" t="s">
        <v>2</v>
      </c>
      <c r="D59" s="4" t="s">
        <v>3</v>
      </c>
      <c r="E59" s="5" t="s">
        <v>4</v>
      </c>
      <c r="F59" s="6" t="s">
        <v>5</v>
      </c>
      <c r="G59" s="6" t="s">
        <v>5</v>
      </c>
      <c r="H59" s="23" t="s">
        <v>6</v>
      </c>
    </row>
    <row r="60" spans="1:10" ht="16.2" thickBot="1" x14ac:dyDescent="0.35">
      <c r="A60" s="78" t="s">
        <v>45</v>
      </c>
      <c r="B60" s="7">
        <v>46188</v>
      </c>
      <c r="C60" s="8">
        <v>0.75</v>
      </c>
      <c r="D60" s="9" t="s">
        <v>8</v>
      </c>
      <c r="E60" s="10" t="s">
        <v>46</v>
      </c>
      <c r="F60" s="26">
        <v>3</v>
      </c>
      <c r="G60" s="26">
        <v>0</v>
      </c>
      <c r="H60" s="21" t="s">
        <v>47</v>
      </c>
      <c r="J60" s="1" t="str">
        <f>IF(OR(Resultados!F60="",Resultados!G60=""),"",IF(AND(F60=Resultados!F60,G60=Resultados!G60),2,IF(((F60&gt;G60)=(Resultados!F60&gt;Resultados!G60))*((F60&lt;G60)=(Resultados!F60&lt;Resultados!G60)),1,0)))</f>
        <v/>
      </c>
    </row>
    <row r="61" spans="1:10" ht="16.2" thickBot="1" x14ac:dyDescent="0.35">
      <c r="A61" s="79"/>
      <c r="B61" s="7">
        <v>46189</v>
      </c>
      <c r="C61" s="8">
        <v>0</v>
      </c>
      <c r="D61" s="9" t="s">
        <v>8</v>
      </c>
      <c r="E61" s="10" t="s">
        <v>48</v>
      </c>
      <c r="F61" s="26">
        <v>0</v>
      </c>
      <c r="G61" s="26">
        <v>2</v>
      </c>
      <c r="H61" s="21" t="s">
        <v>49</v>
      </c>
      <c r="J61" s="1" t="str">
        <f>IF(OR(Resultados!F61="",Resultados!G61=""),"",IF(AND(F61=Resultados!F61,G61=Resultados!G61),2,IF(((F61&gt;G61)=(Resultados!F61&gt;Resultados!G61))*((F61&lt;G61)=(Resultados!F61&lt;Resultados!G61)),1,0)))</f>
        <v/>
      </c>
    </row>
    <row r="62" spans="1:10" ht="16.2" thickBot="1" x14ac:dyDescent="0.35">
      <c r="A62" s="79"/>
      <c r="B62" s="7">
        <v>46194</v>
      </c>
      <c r="C62" s="8">
        <v>0.75</v>
      </c>
      <c r="D62" s="9" t="s">
        <v>13</v>
      </c>
      <c r="E62" s="10" t="s">
        <v>46</v>
      </c>
      <c r="F62" s="25">
        <v>2</v>
      </c>
      <c r="G62" s="25">
        <v>0</v>
      </c>
      <c r="H62" s="21" t="s">
        <v>48</v>
      </c>
      <c r="J62" s="1" t="str">
        <f>IF(OR(Resultados!F62="",Resultados!G62=""),"",IF(AND(F62=Resultados!F62,G62=Resultados!G62),2,IF(((F62&gt;G62)=(Resultados!F62&gt;Resultados!G62))*((F62&lt;G62)=(Resultados!F62&lt;Resultados!G62)),1,0)))</f>
        <v/>
      </c>
    </row>
    <row r="63" spans="1:10" ht="16.2" thickBot="1" x14ac:dyDescent="0.35">
      <c r="A63" s="79"/>
      <c r="B63" s="7">
        <v>46195</v>
      </c>
      <c r="C63" s="8">
        <v>0</v>
      </c>
      <c r="D63" s="9" t="s">
        <v>13</v>
      </c>
      <c r="E63" s="10" t="s">
        <v>49</v>
      </c>
      <c r="F63" s="25">
        <v>3</v>
      </c>
      <c r="G63" s="25">
        <v>0</v>
      </c>
      <c r="H63" s="21" t="s">
        <v>47</v>
      </c>
      <c r="J63" s="1" t="str">
        <f>IF(OR(Resultados!F63="",Resultados!G63=""),"",IF(AND(F63=Resultados!F63,G63=Resultados!G63),2,IF(((F63&gt;G63)=(Resultados!F63&gt;Resultados!G63))*((F63&lt;G63)=(Resultados!F63&lt;Resultados!G63)),1,0)))</f>
        <v/>
      </c>
    </row>
    <row r="64" spans="1:10" ht="16.2" thickBot="1" x14ac:dyDescent="0.35">
      <c r="A64" s="79"/>
      <c r="B64" s="7">
        <v>46200</v>
      </c>
      <c r="C64" s="8">
        <v>8.3333333333333329E-2</v>
      </c>
      <c r="D64" s="9" t="s">
        <v>14</v>
      </c>
      <c r="E64" s="10" t="s">
        <v>47</v>
      </c>
      <c r="F64" s="25">
        <v>0</v>
      </c>
      <c r="G64" s="25">
        <v>2</v>
      </c>
      <c r="H64" s="21" t="s">
        <v>48</v>
      </c>
      <c r="J64" s="1" t="str">
        <f>IF(OR(Resultados!F64="",Resultados!G64=""),"",IF(AND(F64=Resultados!F64,G64=Resultados!G64),2,IF(((F64&gt;G64)=(Resultados!F64&gt;Resultados!G64))*((F64&lt;G64)=(Resultados!F64&lt;Resultados!G64)),1,0)))</f>
        <v/>
      </c>
    </row>
    <row r="65" spans="1:10" ht="16.2" thickBot="1" x14ac:dyDescent="0.35">
      <c r="A65" s="80"/>
      <c r="B65" s="12">
        <v>46200</v>
      </c>
      <c r="C65" s="13">
        <v>8.3333333333333329E-2</v>
      </c>
      <c r="D65" s="14" t="s">
        <v>14</v>
      </c>
      <c r="E65" s="15" t="s">
        <v>49</v>
      </c>
      <c r="F65" s="25">
        <v>2</v>
      </c>
      <c r="G65" s="25">
        <v>2</v>
      </c>
      <c r="H65" s="21" t="s">
        <v>46</v>
      </c>
      <c r="J65" s="1" t="str">
        <f>IF(OR(Resultados!F65="",Resultados!G65=""),"",IF(AND(F65=Resultados!F65,G65=Resultados!G65),2,IF(((F65&gt;G65)=(Resultados!F65&gt;Resultados!G65))*((F65&lt;G65)=(Resultados!F65&lt;Resultados!G65)),1,0)))</f>
        <v/>
      </c>
    </row>
    <row r="66" spans="1:10" ht="16.2" thickBot="1" x14ac:dyDescent="0.35">
      <c r="A66" s="17"/>
      <c r="B66" s="18"/>
      <c r="C66" s="18"/>
      <c r="D66" s="18"/>
      <c r="E66" s="18"/>
      <c r="F66" s="18"/>
      <c r="G66" s="18"/>
      <c r="H66" s="22"/>
    </row>
    <row r="67" spans="1:10" ht="16.2" thickBot="1" x14ac:dyDescent="0.35">
      <c r="A67" s="16"/>
      <c r="B67" s="4" t="s">
        <v>1</v>
      </c>
      <c r="C67" s="4" t="s">
        <v>2</v>
      </c>
      <c r="D67" s="4" t="s">
        <v>3</v>
      </c>
      <c r="E67" s="5" t="s">
        <v>4</v>
      </c>
      <c r="F67" s="6" t="s">
        <v>5</v>
      </c>
      <c r="G67" s="6" t="s">
        <v>5</v>
      </c>
      <c r="H67" s="23" t="s">
        <v>6</v>
      </c>
    </row>
    <row r="68" spans="1:10" ht="16.2" thickBot="1" x14ac:dyDescent="0.35">
      <c r="A68" s="81" t="s">
        <v>50</v>
      </c>
      <c r="B68" s="7">
        <v>46189</v>
      </c>
      <c r="C68" s="8">
        <v>0.875</v>
      </c>
      <c r="D68" s="9" t="s">
        <v>8</v>
      </c>
      <c r="E68" s="10" t="s">
        <v>51</v>
      </c>
      <c r="F68" s="26">
        <v>2</v>
      </c>
      <c r="G68" s="26">
        <v>1</v>
      </c>
      <c r="H68" s="21" t="s">
        <v>52</v>
      </c>
      <c r="J68" s="1" t="str">
        <f>IF(OR(Resultados!F68="",Resultados!G68=""),"",IF(AND(F68=Resultados!F68,G68=Resultados!G68),2,IF(((F68&gt;G68)=(Resultados!F68&gt;Resultados!G68))*((F68&lt;G68)=(Resultados!F68&lt;Resultados!G68)),1,0)))</f>
        <v/>
      </c>
    </row>
    <row r="69" spans="1:10" ht="16.2" thickBot="1" x14ac:dyDescent="0.35">
      <c r="A69" s="82"/>
      <c r="B69" s="7">
        <v>46190</v>
      </c>
      <c r="C69" s="8">
        <v>0</v>
      </c>
      <c r="D69" s="9" t="s">
        <v>8</v>
      </c>
      <c r="E69" s="10" t="s">
        <v>53</v>
      </c>
      <c r="F69" s="26">
        <v>1</v>
      </c>
      <c r="G69" s="26">
        <v>1</v>
      </c>
      <c r="H69" s="21" t="s">
        <v>54</v>
      </c>
      <c r="J69" s="1" t="str">
        <f>IF(OR(Resultados!F69="",Resultados!G69=""),"",IF(AND(F69=Resultados!F69,G69=Resultados!G69),2,IF(((F69&gt;G69)=(Resultados!F69&gt;Resultados!G69))*((F69&lt;G69)=(Resultados!F69&lt;Resultados!G69)),1,0)))</f>
        <v/>
      </c>
    </row>
    <row r="70" spans="1:10" ht="16.2" thickBot="1" x14ac:dyDescent="0.35">
      <c r="A70" s="82"/>
      <c r="B70" s="7">
        <v>46195</v>
      </c>
      <c r="C70" s="8">
        <v>0.95833333333333337</v>
      </c>
      <c r="D70" s="9" t="s">
        <v>13</v>
      </c>
      <c r="E70" s="10" t="s">
        <v>51</v>
      </c>
      <c r="F70" s="25">
        <v>2</v>
      </c>
      <c r="G70" s="25">
        <v>0</v>
      </c>
      <c r="H70" s="21" t="s">
        <v>53</v>
      </c>
      <c r="J70" s="1" t="str">
        <f>IF(OR(Resultados!F70="",Resultados!G70=""),"",IF(AND(F70=Resultados!F70,G70=Resultados!G70),2,IF(((F70&gt;G70)=(Resultados!F70&gt;Resultados!G70))*((F70&lt;G70)=(Resultados!F70&lt;Resultados!G70)),1,0)))</f>
        <v/>
      </c>
    </row>
    <row r="71" spans="1:10" ht="16.2" thickBot="1" x14ac:dyDescent="0.35">
      <c r="A71" s="82"/>
      <c r="B71" s="7">
        <v>46196</v>
      </c>
      <c r="C71" s="8">
        <v>8.3333333333333329E-2</v>
      </c>
      <c r="D71" s="9" t="s">
        <v>13</v>
      </c>
      <c r="E71" s="10" t="s">
        <v>54</v>
      </c>
      <c r="F71" s="25">
        <v>1</v>
      </c>
      <c r="G71" s="25">
        <v>1</v>
      </c>
      <c r="H71" s="21" t="s">
        <v>52</v>
      </c>
      <c r="J71" s="1" t="str">
        <f>IF(OR(Resultados!F71="",Resultados!G71=""),"",IF(AND(F71=Resultados!F71,G71=Resultados!G71),2,IF(((F71&gt;G71)=(Resultados!F71&gt;Resultados!G71))*((F71&lt;G71)=(Resultados!F71&lt;Resultados!G71)),1,0)))</f>
        <v/>
      </c>
    </row>
    <row r="72" spans="1:10" ht="16.2" thickBot="1" x14ac:dyDescent="0.35">
      <c r="A72" s="82"/>
      <c r="B72" s="7">
        <v>46199</v>
      </c>
      <c r="C72" s="8">
        <v>0.875</v>
      </c>
      <c r="D72" s="9" t="s">
        <v>14</v>
      </c>
      <c r="E72" s="10" t="s">
        <v>54</v>
      </c>
      <c r="F72" s="25">
        <v>0</v>
      </c>
      <c r="G72" s="25">
        <v>3</v>
      </c>
      <c r="H72" s="21" t="s">
        <v>51</v>
      </c>
      <c r="J72" s="1" t="str">
        <f>IF(OR(Resultados!F72="",Resultados!G72=""),"",IF(AND(F72=Resultados!F72,G72=Resultados!G72),2,IF(((F72&gt;G72)=(Resultados!F72&gt;Resultados!G72))*((F72&lt;G72)=(Resultados!F72&lt;Resultados!G72)),1,0)))</f>
        <v/>
      </c>
    </row>
    <row r="73" spans="1:10" ht="16.2" thickBot="1" x14ac:dyDescent="0.35">
      <c r="A73" s="83"/>
      <c r="B73" s="12">
        <v>46199</v>
      </c>
      <c r="C73" s="13">
        <v>0.875</v>
      </c>
      <c r="D73" s="14" t="s">
        <v>14</v>
      </c>
      <c r="E73" s="15" t="s">
        <v>52</v>
      </c>
      <c r="F73" s="25">
        <v>1</v>
      </c>
      <c r="G73" s="25">
        <v>1</v>
      </c>
      <c r="H73" s="21" t="s">
        <v>53</v>
      </c>
      <c r="J73" s="1" t="str">
        <f>IF(OR(Resultados!F73="",Resultados!G73=""),"",IF(AND(F73=Resultados!F73,G73=Resultados!G73),2,IF(((F73&gt;G73)=(Resultados!F73&gt;Resultados!G73))*((F73&lt;G73)=(Resultados!F73&lt;Resultados!G73)),1,0)))</f>
        <v/>
      </c>
    </row>
    <row r="74" spans="1:10" ht="16.2" thickBot="1" x14ac:dyDescent="0.35">
      <c r="A74" s="17"/>
      <c r="B74" s="18"/>
      <c r="C74" s="18"/>
      <c r="D74" s="18"/>
      <c r="E74" s="18"/>
      <c r="F74" s="18"/>
      <c r="G74" s="18"/>
      <c r="H74" s="22"/>
    </row>
    <row r="75" spans="1:10" ht="16.2" thickBot="1" x14ac:dyDescent="0.35">
      <c r="A75" s="16"/>
      <c r="B75" s="4" t="s">
        <v>1</v>
      </c>
      <c r="C75" s="4" t="s">
        <v>2</v>
      </c>
      <c r="D75" s="4" t="s">
        <v>3</v>
      </c>
      <c r="E75" s="5" t="s">
        <v>4</v>
      </c>
      <c r="F75" s="6" t="s">
        <v>5</v>
      </c>
      <c r="G75" s="6" t="s">
        <v>5</v>
      </c>
      <c r="H75" s="23" t="s">
        <v>6</v>
      </c>
    </row>
    <row r="76" spans="1:10" ht="16.2" thickBot="1" x14ac:dyDescent="0.35">
      <c r="A76" s="84" t="s">
        <v>55</v>
      </c>
      <c r="B76" s="7">
        <v>46190</v>
      </c>
      <c r="C76" s="8">
        <v>0.125</v>
      </c>
      <c r="D76" s="9" t="s">
        <v>8</v>
      </c>
      <c r="E76" s="10" t="s">
        <v>56</v>
      </c>
      <c r="F76" s="26">
        <v>2</v>
      </c>
      <c r="G76" s="26">
        <v>0</v>
      </c>
      <c r="H76" s="21" t="s">
        <v>57</v>
      </c>
      <c r="J76" s="1" t="str">
        <f>IF(OR(Resultados!F76="",Resultados!G76=""),"",IF(AND(F76=Resultados!F76,G76=Resultados!G76),2,IF(((F76&gt;G76)=(Resultados!F76&gt;Resultados!G76))*((F76&lt;G76)=(Resultados!F76&lt;Resultados!G76)),1,0)))</f>
        <v/>
      </c>
    </row>
    <row r="77" spans="1:10" ht="16.2" thickBot="1" x14ac:dyDescent="0.35">
      <c r="A77" s="85"/>
      <c r="B77" s="7">
        <v>46190</v>
      </c>
      <c r="C77" s="8">
        <v>0.25</v>
      </c>
      <c r="D77" s="9" t="s">
        <v>8</v>
      </c>
      <c r="E77" s="10" t="s">
        <v>58</v>
      </c>
      <c r="F77" s="26">
        <v>1</v>
      </c>
      <c r="G77" s="26">
        <v>1</v>
      </c>
      <c r="H77" s="21" t="s">
        <v>59</v>
      </c>
      <c r="J77" s="1" t="str">
        <f>IF(OR(Resultados!F77="",Resultados!G77=""),"",IF(AND(F77=Resultados!F77,G77=Resultados!G77),2,IF(((F77&gt;G77)=(Resultados!F77&gt;Resultados!G77))*((F77&lt;G77)=(Resultados!F77&lt;Resultados!G77)),1,0)))</f>
        <v/>
      </c>
    </row>
    <row r="78" spans="1:10" ht="16.2" thickBot="1" x14ac:dyDescent="0.35">
      <c r="A78" s="85"/>
      <c r="B78" s="7">
        <v>46195</v>
      </c>
      <c r="C78" s="8">
        <v>0.79166666666666663</v>
      </c>
      <c r="D78" s="9" t="s">
        <v>13</v>
      </c>
      <c r="E78" s="10" t="s">
        <v>56</v>
      </c>
      <c r="F78" s="25">
        <v>2</v>
      </c>
      <c r="G78" s="25">
        <v>0</v>
      </c>
      <c r="H78" s="21" t="s">
        <v>58</v>
      </c>
      <c r="J78" s="1" t="str">
        <f>IF(OR(Resultados!F78="",Resultados!G78=""),"",IF(AND(F78=Resultados!F78,G78=Resultados!G78),2,IF(((F78&gt;G78)=(Resultados!F78&gt;Resultados!G78))*((F78&lt;G78)=(Resultados!F78&lt;Resultados!G78)),1,0)))</f>
        <v/>
      </c>
    </row>
    <row r="79" spans="1:10" ht="16.2" thickBot="1" x14ac:dyDescent="0.35">
      <c r="A79" s="85"/>
      <c r="B79" s="7">
        <v>46196</v>
      </c>
      <c r="C79" s="8">
        <v>0.20833333333333334</v>
      </c>
      <c r="D79" s="9" t="s">
        <v>13</v>
      </c>
      <c r="E79" s="10" t="s">
        <v>59</v>
      </c>
      <c r="F79" s="25">
        <v>1</v>
      </c>
      <c r="G79" s="25">
        <v>1</v>
      </c>
      <c r="H79" s="21" t="s">
        <v>57</v>
      </c>
      <c r="J79" s="1" t="str">
        <f>IF(OR(Resultados!F79="",Resultados!G79=""),"",IF(AND(F79=Resultados!F79,G79=Resultados!G79),2,IF(((F79&gt;G79)=(Resultados!F79&gt;Resultados!G79))*((F79&lt;G79)=(Resultados!F79&lt;Resultados!G79)),1,0)))</f>
        <v/>
      </c>
    </row>
    <row r="80" spans="1:10" ht="16.2" thickBot="1" x14ac:dyDescent="0.35">
      <c r="A80" s="85"/>
      <c r="B80" s="7">
        <v>46201</v>
      </c>
      <c r="C80" s="8">
        <v>0.16666666666666666</v>
      </c>
      <c r="D80" s="9" t="s">
        <v>14</v>
      </c>
      <c r="E80" s="10" t="s">
        <v>57</v>
      </c>
      <c r="F80" s="25">
        <v>1</v>
      </c>
      <c r="G80" s="25">
        <v>2</v>
      </c>
      <c r="H80" s="21" t="s">
        <v>58</v>
      </c>
      <c r="J80" s="1" t="str">
        <f>IF(OR(Resultados!F80="",Resultados!G80=""),"",IF(AND(F80=Resultados!F80,G80=Resultados!G80),2,IF(((F80&gt;G80)=(Resultados!F80&gt;Resultados!G80))*((F80&lt;G80)=(Resultados!F80&lt;Resultados!G80)),1,0)))</f>
        <v/>
      </c>
    </row>
    <row r="81" spans="1:10" ht="16.2" thickBot="1" x14ac:dyDescent="0.35">
      <c r="A81" s="86"/>
      <c r="B81" s="12">
        <v>46201</v>
      </c>
      <c r="C81" s="13">
        <v>0.16666666666666666</v>
      </c>
      <c r="D81" s="14" t="s">
        <v>14</v>
      </c>
      <c r="E81" s="15" t="s">
        <v>59</v>
      </c>
      <c r="F81" s="25">
        <v>0</v>
      </c>
      <c r="G81" s="25">
        <v>3</v>
      </c>
      <c r="H81" s="21" t="s">
        <v>56</v>
      </c>
      <c r="J81" s="1" t="str">
        <f>IF(OR(Resultados!F81="",Resultados!G81=""),"",IF(AND(F81=Resultados!F81,G81=Resultados!G81),2,IF(((F81&gt;G81)=(Resultados!F81&gt;Resultados!G81))*((F81&lt;G81)=(Resultados!F81&lt;Resultados!G81)),1,0)))</f>
        <v/>
      </c>
    </row>
    <row r="82" spans="1:10" ht="14.4" customHeight="1" thickBot="1" x14ac:dyDescent="0.35">
      <c r="A82" s="19"/>
      <c r="B82" s="19"/>
      <c r="C82" s="19"/>
      <c r="D82" s="19"/>
      <c r="E82" s="19"/>
      <c r="F82" s="19"/>
      <c r="G82" s="19"/>
      <c r="H82" s="24"/>
    </row>
    <row r="83" spans="1:10" ht="16.2" thickBot="1" x14ac:dyDescent="0.35">
      <c r="A83" s="16"/>
      <c r="B83" s="4" t="s">
        <v>1</v>
      </c>
      <c r="C83" s="4" t="s">
        <v>2</v>
      </c>
      <c r="D83" s="4" t="s">
        <v>3</v>
      </c>
      <c r="E83" s="5" t="s">
        <v>4</v>
      </c>
      <c r="F83" s="6" t="s">
        <v>5</v>
      </c>
      <c r="G83" s="6" t="s">
        <v>5</v>
      </c>
      <c r="H83" s="23" t="s">
        <v>6</v>
      </c>
    </row>
    <row r="84" spans="1:10" ht="16.2" thickBot="1" x14ac:dyDescent="0.35">
      <c r="A84" s="87" t="s">
        <v>60</v>
      </c>
      <c r="B84" s="7">
        <v>46190</v>
      </c>
      <c r="C84" s="8">
        <v>0.79166666666666663</v>
      </c>
      <c r="D84" s="9" t="s">
        <v>8</v>
      </c>
      <c r="E84" s="10" t="s">
        <v>61</v>
      </c>
      <c r="F84" s="26">
        <v>2</v>
      </c>
      <c r="G84" s="26">
        <v>0</v>
      </c>
      <c r="H84" s="21" t="s">
        <v>62</v>
      </c>
      <c r="J84" s="1" t="str">
        <f>IF(OR(Resultados!F84="",Resultados!G84=""),"",IF(AND(F84=Resultados!F84,G84=Resultados!G84),2,IF(((F84&gt;G84)=(Resultados!F84&gt;Resultados!G84))*((F84&lt;G84)=(Resultados!F84&lt;Resultados!G84)),1,0)))</f>
        <v/>
      </c>
    </row>
    <row r="85" spans="1:10" ht="16.2" thickBot="1" x14ac:dyDescent="0.35">
      <c r="A85" s="88"/>
      <c r="B85" s="7">
        <v>46191</v>
      </c>
      <c r="C85" s="8">
        <v>0.16666666666666666</v>
      </c>
      <c r="D85" s="9" t="s">
        <v>8</v>
      </c>
      <c r="E85" s="10" t="s">
        <v>63</v>
      </c>
      <c r="F85" s="26">
        <v>1</v>
      </c>
      <c r="G85" s="26">
        <v>2</v>
      </c>
      <c r="H85" s="21" t="s">
        <v>64</v>
      </c>
      <c r="J85" s="1" t="str">
        <f>IF(OR(Resultados!F85="",Resultados!G85=""),"",IF(AND(F85=Resultados!F85,G85=Resultados!G85),2,IF(((F85&gt;G85)=(Resultados!F85&gt;Resultados!G85))*((F85&lt;G85)=(Resultados!F85&lt;Resultados!G85)),1,0)))</f>
        <v/>
      </c>
    </row>
    <row r="86" spans="1:10" ht="16.2" thickBot="1" x14ac:dyDescent="0.35">
      <c r="A86" s="88"/>
      <c r="B86" s="7">
        <v>46196</v>
      </c>
      <c r="C86" s="8">
        <v>0.79166666666666663</v>
      </c>
      <c r="D86" s="9" t="s">
        <v>13</v>
      </c>
      <c r="E86" s="10" t="s">
        <v>61</v>
      </c>
      <c r="F86" s="25">
        <v>2</v>
      </c>
      <c r="G86" s="25">
        <v>1</v>
      </c>
      <c r="H86" s="21" t="s">
        <v>63</v>
      </c>
      <c r="J86" s="1" t="str">
        <f>IF(OR(Resultados!F86="",Resultados!G86=""),"",IF(AND(F86=Resultados!F86,G86=Resultados!G86),2,IF(((F86&gt;G86)=(Resultados!F86&gt;Resultados!G86))*((F86&lt;G86)=(Resultados!F86&lt;Resultados!G86)),1,0)))</f>
        <v/>
      </c>
    </row>
    <row r="87" spans="1:10" ht="16.2" thickBot="1" x14ac:dyDescent="0.35">
      <c r="A87" s="88"/>
      <c r="B87" s="7">
        <v>46197</v>
      </c>
      <c r="C87" s="8">
        <v>0.16666666666666666</v>
      </c>
      <c r="D87" s="9" t="s">
        <v>13</v>
      </c>
      <c r="E87" s="10" t="s">
        <v>64</v>
      </c>
      <c r="F87" s="25">
        <v>2</v>
      </c>
      <c r="G87" s="25">
        <v>1</v>
      </c>
      <c r="H87" s="21" t="s">
        <v>62</v>
      </c>
      <c r="J87" s="1" t="str">
        <f>IF(OR(Resultados!F87="",Resultados!G87=""),"",IF(AND(F87=Resultados!F87,G87=Resultados!G87),2,IF(((F87&gt;G87)=(Resultados!F87&gt;Resultados!G87))*((F87&lt;G87)=(Resultados!F87&lt;Resultados!G87)),1,0)))</f>
        <v/>
      </c>
    </row>
    <row r="88" spans="1:10" ht="16.2" thickBot="1" x14ac:dyDescent="0.35">
      <c r="A88" s="88"/>
      <c r="B88" s="7">
        <v>46201</v>
      </c>
      <c r="C88" s="8">
        <v>6.25E-2</v>
      </c>
      <c r="D88" s="9" t="s">
        <v>14</v>
      </c>
      <c r="E88" s="10" t="s">
        <v>64</v>
      </c>
      <c r="F88" s="25">
        <v>1</v>
      </c>
      <c r="G88" s="25">
        <v>1</v>
      </c>
      <c r="H88" s="21" t="s">
        <v>61</v>
      </c>
      <c r="J88" s="1" t="str">
        <f>IF(OR(Resultados!F88="",Resultados!G88=""),"",IF(AND(F88=Resultados!F88,G88=Resultados!G88),2,IF(((F88&gt;G88)=(Resultados!F88&gt;Resultados!G88))*((F88&lt;G88)=(Resultados!F88&lt;Resultados!G88)),1,0)))</f>
        <v/>
      </c>
    </row>
    <row r="89" spans="1:10" ht="16.2" thickBot="1" x14ac:dyDescent="0.35">
      <c r="A89" s="89"/>
      <c r="B89" s="12">
        <v>46201</v>
      </c>
      <c r="C89" s="13">
        <v>6.25E-2</v>
      </c>
      <c r="D89" s="14" t="s">
        <v>14</v>
      </c>
      <c r="E89" s="15" t="s">
        <v>62</v>
      </c>
      <c r="F89" s="25">
        <v>1</v>
      </c>
      <c r="G89" s="25">
        <v>2</v>
      </c>
      <c r="H89" s="21" t="s">
        <v>63</v>
      </c>
      <c r="J89" s="1" t="str">
        <f>IF(OR(Resultados!F89="",Resultados!G89=""),"",IF(AND(F89=Resultados!F89,G89=Resultados!G89),2,IF(((F89&gt;G89)=(Resultados!F89&gt;Resultados!G89))*((F89&lt;G89)=(Resultados!F89&lt;Resultados!G89)),1,0)))</f>
        <v/>
      </c>
    </row>
    <row r="90" spans="1:10" ht="16.2" thickBot="1" x14ac:dyDescent="0.35">
      <c r="A90" s="17"/>
      <c r="B90" s="18"/>
      <c r="C90" s="18"/>
      <c r="D90" s="18"/>
      <c r="E90" s="18"/>
      <c r="F90" s="18"/>
      <c r="G90" s="18"/>
      <c r="H90" s="22"/>
    </row>
    <row r="91" spans="1:10" ht="16.2" thickBot="1" x14ac:dyDescent="0.35">
      <c r="A91" s="16"/>
      <c r="B91" s="4" t="s">
        <v>1</v>
      </c>
      <c r="C91" s="4" t="s">
        <v>2</v>
      </c>
      <c r="D91" s="4" t="s">
        <v>3</v>
      </c>
      <c r="E91" s="5" t="s">
        <v>4</v>
      </c>
      <c r="F91" s="6" t="s">
        <v>5</v>
      </c>
      <c r="G91" s="6" t="s">
        <v>5</v>
      </c>
      <c r="H91" s="23" t="s">
        <v>6</v>
      </c>
    </row>
    <row r="92" spans="1:10" ht="16.2" thickBot="1" x14ac:dyDescent="0.35">
      <c r="A92" s="69" t="s">
        <v>65</v>
      </c>
      <c r="B92" s="7">
        <v>46190</v>
      </c>
      <c r="C92" s="8">
        <v>0.91666666666666663</v>
      </c>
      <c r="D92" s="9" t="s">
        <v>8</v>
      </c>
      <c r="E92" s="10" t="s">
        <v>66</v>
      </c>
      <c r="F92" s="26">
        <v>1</v>
      </c>
      <c r="G92" s="26">
        <v>0</v>
      </c>
      <c r="H92" s="21" t="s">
        <v>67</v>
      </c>
      <c r="J92" s="1" t="str">
        <f>IF(OR(Resultados!F92="",Resultados!G92=""),"",IF(AND(F92=Resultados!F92,G92=Resultados!G92),2,IF(((F92&gt;G92)=(Resultados!F92&gt;Resultados!G92))*((F92&lt;G92)=(Resultados!F92&lt;Resultados!G92)),1,0)))</f>
        <v/>
      </c>
    </row>
    <row r="93" spans="1:10" ht="16.2" thickBot="1" x14ac:dyDescent="0.35">
      <c r="A93" s="70"/>
      <c r="B93" s="7">
        <v>46191</v>
      </c>
      <c r="C93" s="8">
        <v>4.1666666666666664E-2</v>
      </c>
      <c r="D93" s="9" t="s">
        <v>8</v>
      </c>
      <c r="E93" s="10" t="s">
        <v>68</v>
      </c>
      <c r="F93" s="26">
        <v>2</v>
      </c>
      <c r="G93" s="26">
        <v>0</v>
      </c>
      <c r="H93" s="21" t="s">
        <v>69</v>
      </c>
      <c r="J93" s="1" t="str">
        <f>IF(OR(Resultados!F93="",Resultados!G93=""),"",IF(AND(F93=Resultados!F93,G93=Resultados!G93),2,IF(((F93&gt;G93)=(Resultados!F93&gt;Resultados!G93))*((F93&lt;G93)=(Resultados!F93&lt;Resultados!G93)),1,0)))</f>
        <v/>
      </c>
    </row>
    <row r="94" spans="1:10" ht="16.2" thickBot="1" x14ac:dyDescent="0.35">
      <c r="A94" s="70"/>
      <c r="B94" s="7">
        <v>46196</v>
      </c>
      <c r="C94" s="8">
        <v>0.91666666666666663</v>
      </c>
      <c r="D94" s="9" t="s">
        <v>13</v>
      </c>
      <c r="E94" s="10" t="s">
        <v>66</v>
      </c>
      <c r="F94" s="25">
        <v>1</v>
      </c>
      <c r="G94" s="25">
        <v>0</v>
      </c>
      <c r="H94" s="21" t="s">
        <v>68</v>
      </c>
      <c r="J94" s="1" t="str">
        <f>IF(OR(Resultados!F94="",Resultados!G94=""),"",IF(AND(F94=Resultados!F94,G94=Resultados!G94),2,IF(((F94&gt;G94)=(Resultados!F94&gt;Resultados!G94))*((F94&lt;G94)=(Resultados!F94&lt;Resultados!G94)),1,0)))</f>
        <v/>
      </c>
    </row>
    <row r="95" spans="1:10" ht="16.2" thickBot="1" x14ac:dyDescent="0.35">
      <c r="A95" s="70"/>
      <c r="B95" s="7">
        <v>46197</v>
      </c>
      <c r="C95" s="8">
        <v>4.1666666666666664E-2</v>
      </c>
      <c r="D95" s="9" t="s">
        <v>13</v>
      </c>
      <c r="E95" s="10" t="s">
        <v>69</v>
      </c>
      <c r="F95" s="25">
        <v>0</v>
      </c>
      <c r="G95" s="25">
        <v>2</v>
      </c>
      <c r="H95" s="21" t="s">
        <v>67</v>
      </c>
      <c r="J95" s="1" t="str">
        <f>IF(OR(Resultados!F95="",Resultados!G95=""),"",IF(AND(F95=Resultados!F95,G95=Resultados!G95),2,IF(((F95&gt;G95)=(Resultados!F95&gt;Resultados!G95))*((F95&lt;G95)=(Resultados!F95&lt;Resultados!G95)),1,0)))</f>
        <v/>
      </c>
    </row>
    <row r="96" spans="1:10" ht="16.2" thickBot="1" x14ac:dyDescent="0.35">
      <c r="A96" s="70"/>
      <c r="B96" s="7">
        <v>46200</v>
      </c>
      <c r="C96" s="8">
        <v>0.95833333333333337</v>
      </c>
      <c r="D96" s="9" t="s">
        <v>14</v>
      </c>
      <c r="E96" s="10" t="s">
        <v>69</v>
      </c>
      <c r="F96" s="25">
        <v>0</v>
      </c>
      <c r="G96" s="25">
        <v>3</v>
      </c>
      <c r="H96" s="21" t="s">
        <v>66</v>
      </c>
      <c r="J96" s="1" t="str">
        <f>IF(OR(Resultados!F96="",Resultados!G96=""),"",IF(AND(F96=Resultados!F96,G96=Resultados!G96),2,IF(((F96&gt;G96)=(Resultados!F96&gt;Resultados!G96))*((F96&lt;G96)=(Resultados!F96&lt;Resultados!G96)),1,0)))</f>
        <v/>
      </c>
    </row>
    <row r="97" spans="1:10" ht="16.2" thickBot="1" x14ac:dyDescent="0.35">
      <c r="A97" s="71"/>
      <c r="B97" s="12">
        <v>46200</v>
      </c>
      <c r="C97" s="13">
        <v>0.95833333333333337</v>
      </c>
      <c r="D97" s="14" t="s">
        <v>14</v>
      </c>
      <c r="E97" s="15" t="s">
        <v>67</v>
      </c>
      <c r="F97" s="25">
        <v>2</v>
      </c>
      <c r="G97" s="25">
        <v>1</v>
      </c>
      <c r="H97" s="21" t="s">
        <v>68</v>
      </c>
      <c r="J97" s="1" t="str">
        <f>IF(OR(Resultados!F97="",Resultados!G97=""),"",IF(AND(F97=Resultados!F97,G97=Resultados!G97),2,IF(((F97&gt;G97)=(Resultados!F97&gt;Resultados!G97))*((F97&lt;G97)=(Resultados!F97&lt;Resultados!G97)),1,0)))</f>
        <v/>
      </c>
    </row>
  </sheetData>
  <mergeCells count="14">
    <mergeCell ref="A84:A89"/>
    <mergeCell ref="A92:A97"/>
    <mergeCell ref="A36:A41"/>
    <mergeCell ref="A44:A49"/>
    <mergeCell ref="A52:A57"/>
    <mergeCell ref="A60:A65"/>
    <mergeCell ref="A68:A73"/>
    <mergeCell ref="A76:A81"/>
    <mergeCell ref="A28:A33"/>
    <mergeCell ref="A1:H1"/>
    <mergeCell ref="A2:H2"/>
    <mergeCell ref="A4:A9"/>
    <mergeCell ref="A12:A17"/>
    <mergeCell ref="A20:A25"/>
  </mergeCells>
  <pageMargins left="0.7" right="0.7" top="0.75" bottom="0.75" header="0.3" footer="0.3"/>
  <ignoredErrors>
    <ignoredError sqref="J6:J97" unlocked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EA6E-F1B5-4DFC-883B-2090628BA759}">
  <dimension ref="A1:L97"/>
  <sheetViews>
    <sheetView topLeftCell="A33" zoomScale="130" workbookViewId="0">
      <selection activeCell="K92" sqref="K92"/>
    </sheetView>
  </sheetViews>
  <sheetFormatPr baseColWidth="10" defaultRowHeight="15.6" x14ac:dyDescent="0.3"/>
  <cols>
    <col min="1" max="1" width="7.6640625" style="1" bestFit="1" customWidth="1"/>
    <col min="2" max="2" width="11.21875" style="1" bestFit="1" customWidth="1"/>
    <col min="3" max="3" width="6" style="1" bestFit="1" customWidth="1"/>
    <col min="4" max="4" width="4.88671875" style="1" bestFit="1" customWidth="1"/>
    <col min="5" max="5" width="17.109375" style="2" bestFit="1" customWidth="1"/>
    <col min="6" max="7" width="4.5546875" style="2" bestFit="1" customWidth="1"/>
    <col min="8" max="8" width="17.109375" style="1" bestFit="1" customWidth="1"/>
    <col min="9" max="9" width="6.109375" style="1" customWidth="1"/>
    <col min="10" max="10" width="7.77734375" style="1" bestFit="1" customWidth="1"/>
    <col min="11" max="11" width="6.109375" style="1" customWidth="1"/>
    <col min="12" max="16384" width="11.5546875" style="1"/>
  </cols>
  <sheetData>
    <row r="1" spans="1:12" ht="25.8" thickBot="1" x14ac:dyDescent="0.35">
      <c r="A1" s="63" t="s">
        <v>0</v>
      </c>
      <c r="B1" s="64"/>
      <c r="C1" s="64"/>
      <c r="D1" s="64"/>
      <c r="E1" s="64"/>
      <c r="F1" s="64"/>
      <c r="G1" s="64"/>
      <c r="H1" s="65"/>
    </row>
    <row r="2" spans="1:12" ht="16.2" thickBot="1" x14ac:dyDescent="0.35">
      <c r="A2" s="66"/>
      <c r="B2" s="67"/>
      <c r="C2" s="67"/>
      <c r="D2" s="67"/>
      <c r="E2" s="67"/>
      <c r="F2" s="67"/>
      <c r="G2" s="67"/>
      <c r="H2" s="68"/>
    </row>
    <row r="3" spans="1:12" s="2" customFormat="1" ht="16.2" thickBot="1" x14ac:dyDescent="0.35">
      <c r="A3" s="3"/>
      <c r="B3" s="4" t="s">
        <v>1</v>
      </c>
      <c r="C3" s="4" t="s">
        <v>2</v>
      </c>
      <c r="D3" s="4" t="s">
        <v>3</v>
      </c>
      <c r="E3" s="5" t="s">
        <v>4</v>
      </c>
      <c r="F3" s="6" t="s">
        <v>5</v>
      </c>
      <c r="G3" s="6" t="s">
        <v>5</v>
      </c>
      <c r="H3" s="4" t="s">
        <v>6</v>
      </c>
      <c r="J3" s="30" t="s">
        <v>71</v>
      </c>
      <c r="L3" s="2" t="s">
        <v>73</v>
      </c>
    </row>
    <row r="4" spans="1:12" ht="16.2" thickBot="1" x14ac:dyDescent="0.35">
      <c r="A4" s="90" t="s">
        <v>7</v>
      </c>
      <c r="B4" s="7">
        <v>46184</v>
      </c>
      <c r="C4" s="8">
        <v>0.875</v>
      </c>
      <c r="D4" s="9" t="s">
        <v>8</v>
      </c>
      <c r="E4" s="10" t="s">
        <v>9</v>
      </c>
      <c r="F4" s="11">
        <v>2</v>
      </c>
      <c r="G4" s="11">
        <v>0</v>
      </c>
      <c r="H4" s="20" t="s">
        <v>10</v>
      </c>
      <c r="L4" s="1">
        <f>SUM(J:J)</f>
        <v>4</v>
      </c>
    </row>
    <row r="5" spans="1:12" ht="16.2" thickBot="1" x14ac:dyDescent="0.35">
      <c r="A5" s="91"/>
      <c r="B5" s="7">
        <v>46185</v>
      </c>
      <c r="C5" s="8">
        <v>0.16666666666666666</v>
      </c>
      <c r="D5" s="9" t="s">
        <v>8</v>
      </c>
      <c r="E5" s="10" t="s">
        <v>11</v>
      </c>
      <c r="F5" s="11">
        <v>2</v>
      </c>
      <c r="G5" s="11">
        <v>1</v>
      </c>
      <c r="H5" s="20" t="s">
        <v>12</v>
      </c>
    </row>
    <row r="6" spans="1:12" ht="16.2" thickBot="1" x14ac:dyDescent="0.35">
      <c r="A6" s="91"/>
      <c r="B6" s="7">
        <v>46191</v>
      </c>
      <c r="C6" s="8">
        <v>0.75</v>
      </c>
      <c r="D6" s="9" t="s">
        <v>13</v>
      </c>
      <c r="E6" s="10" t="s">
        <v>12</v>
      </c>
      <c r="F6" s="25">
        <v>1</v>
      </c>
      <c r="G6" s="25">
        <v>1</v>
      </c>
      <c r="H6" s="20" t="s">
        <v>10</v>
      </c>
      <c r="J6" s="1" t="str">
        <f>IF(OR(Resultados!F6="",Resultados!G6=""),"",IF(AND(F6=Resultados!F6,G6=Resultados!G6),2,IF(((F6&gt;G6)=(Resultados!F6&gt;Resultados!G6))*((F6&lt;G6)=(Resultados!F6&lt;Resultados!G6)),1,0)))</f>
        <v/>
      </c>
    </row>
    <row r="7" spans="1:12" ht="16.2" thickBot="1" x14ac:dyDescent="0.35">
      <c r="A7" s="91"/>
      <c r="B7" s="7">
        <v>46192</v>
      </c>
      <c r="C7" s="8">
        <v>0.125</v>
      </c>
      <c r="D7" s="9" t="s">
        <v>13</v>
      </c>
      <c r="E7" s="10" t="s">
        <v>9</v>
      </c>
      <c r="F7" s="25">
        <v>2</v>
      </c>
      <c r="G7" s="25">
        <v>1</v>
      </c>
      <c r="H7" s="20" t="s">
        <v>11</v>
      </c>
      <c r="J7" s="1" t="str">
        <f>IF(OR(Resultados!F7="",Resultados!G7=""),"",IF(AND(F7=Resultados!F7,G7=Resultados!G7),2,IF(((F7&gt;G7)=(Resultados!F7&gt;Resultados!G7))*((F7&lt;G7)=(Resultados!F7&lt;Resultados!G7)),1,0)))</f>
        <v/>
      </c>
    </row>
    <row r="8" spans="1:12" ht="16.2" thickBot="1" x14ac:dyDescent="0.35">
      <c r="A8" s="91"/>
      <c r="B8" s="7">
        <v>46198</v>
      </c>
      <c r="C8" s="8">
        <v>0.125</v>
      </c>
      <c r="D8" s="9" t="s">
        <v>14</v>
      </c>
      <c r="E8" s="10" t="s">
        <v>12</v>
      </c>
      <c r="F8" s="25">
        <v>1</v>
      </c>
      <c r="G8" s="25">
        <v>1</v>
      </c>
      <c r="H8" s="20" t="s">
        <v>9</v>
      </c>
      <c r="J8" s="1" t="str">
        <f>IF(OR(Resultados!F8="",Resultados!G8=""),"",IF(AND(F8=Resultados!F8,G8=Resultados!G8),2,IF(((F8&gt;G8)=(Resultados!F8&gt;Resultados!G8))*((F8&lt;G8)=(Resultados!F8&lt;Resultados!G8)),1,0)))</f>
        <v/>
      </c>
    </row>
    <row r="9" spans="1:12" ht="16.2" thickBot="1" x14ac:dyDescent="0.35">
      <c r="A9" s="92"/>
      <c r="B9" s="12">
        <v>46198</v>
      </c>
      <c r="C9" s="13">
        <v>0.125</v>
      </c>
      <c r="D9" s="14" t="s">
        <v>14</v>
      </c>
      <c r="E9" s="15" t="s">
        <v>10</v>
      </c>
      <c r="F9" s="25">
        <v>1</v>
      </c>
      <c r="G9" s="25">
        <v>2</v>
      </c>
      <c r="H9" s="21" t="s">
        <v>11</v>
      </c>
      <c r="J9" s="1" t="str">
        <f>IF(OR(Resultados!F9="",Resultados!G9=""),"",IF(AND(F9=Resultados!F9,G9=Resultados!G9),2,IF(((F9&gt;G9)=(Resultados!F9&gt;Resultados!G9))*((F9&lt;G9)=(Resultados!F9&lt;Resultados!G9)),1,0)))</f>
        <v/>
      </c>
    </row>
    <row r="10" spans="1:12" ht="16.2" thickBot="1" x14ac:dyDescent="0.35">
      <c r="A10" s="17"/>
      <c r="B10" s="18"/>
      <c r="C10" s="18"/>
      <c r="D10" s="18"/>
      <c r="E10" s="18"/>
      <c r="F10" s="18"/>
      <c r="G10" s="18"/>
      <c r="H10" s="22"/>
    </row>
    <row r="11" spans="1:12" ht="16.2" thickBot="1" x14ac:dyDescent="0.35">
      <c r="A11" s="16"/>
      <c r="B11" s="4" t="s">
        <v>1</v>
      </c>
      <c r="C11" s="4" t="s">
        <v>2</v>
      </c>
      <c r="D11" s="4" t="s">
        <v>3</v>
      </c>
      <c r="E11" s="5" t="s">
        <v>4</v>
      </c>
      <c r="F11" s="6" t="s">
        <v>5</v>
      </c>
      <c r="G11" s="6" t="s">
        <v>5</v>
      </c>
      <c r="H11" s="23" t="s">
        <v>6</v>
      </c>
    </row>
    <row r="12" spans="1:12" ht="16.2" thickBot="1" x14ac:dyDescent="0.35">
      <c r="A12" s="93" t="s">
        <v>15</v>
      </c>
      <c r="B12" s="7">
        <v>46185</v>
      </c>
      <c r="C12" s="8">
        <v>0.875</v>
      </c>
      <c r="D12" s="9" t="s">
        <v>8</v>
      </c>
      <c r="E12" s="10" t="s">
        <v>16</v>
      </c>
      <c r="F12" s="11">
        <v>1</v>
      </c>
      <c r="G12" s="11">
        <v>1</v>
      </c>
      <c r="H12" s="21" t="s">
        <v>17</v>
      </c>
    </row>
    <row r="13" spans="1:12" ht="16.2" thickBot="1" x14ac:dyDescent="0.35">
      <c r="A13" s="94"/>
      <c r="B13" s="7">
        <v>46186</v>
      </c>
      <c r="C13" s="8">
        <v>0.875</v>
      </c>
      <c r="D13" s="9" t="s">
        <v>8</v>
      </c>
      <c r="E13" s="10" t="s">
        <v>18</v>
      </c>
      <c r="F13" s="11">
        <v>1</v>
      </c>
      <c r="G13" s="11">
        <v>1</v>
      </c>
      <c r="H13" s="21" t="s">
        <v>19</v>
      </c>
    </row>
    <row r="14" spans="1:12" ht="16.2" thickBot="1" x14ac:dyDescent="0.35">
      <c r="A14" s="94"/>
      <c r="B14" s="7">
        <v>46191</v>
      </c>
      <c r="C14" s="8">
        <v>0.875</v>
      </c>
      <c r="D14" s="9" t="s">
        <v>13</v>
      </c>
      <c r="E14" s="10" t="s">
        <v>19</v>
      </c>
      <c r="F14" s="25">
        <v>2</v>
      </c>
      <c r="G14" s="25">
        <v>0</v>
      </c>
      <c r="H14" s="21" t="s">
        <v>17</v>
      </c>
      <c r="J14" s="1" t="str">
        <f>IF(OR(Resultados!F14="",Resultados!G14=""),"",IF(AND(F14=Resultados!F14,G14=Resultados!G14),2,IF(((F14&gt;G14)=(Resultados!F14&gt;Resultados!G14))*((F14&lt;G14)=(Resultados!F14&lt;Resultados!G14)),1,0)))</f>
        <v/>
      </c>
    </row>
    <row r="15" spans="1:12" ht="16.2" thickBot="1" x14ac:dyDescent="0.35">
      <c r="A15" s="94"/>
      <c r="B15" s="7">
        <v>46192</v>
      </c>
      <c r="C15" s="8">
        <v>0</v>
      </c>
      <c r="D15" s="9" t="s">
        <v>13</v>
      </c>
      <c r="E15" s="10" t="s">
        <v>16</v>
      </c>
      <c r="F15" s="25">
        <v>1</v>
      </c>
      <c r="G15" s="25">
        <v>0</v>
      </c>
      <c r="H15" s="21" t="s">
        <v>18</v>
      </c>
      <c r="J15" s="1" t="str">
        <f>IF(OR(Resultados!F15="",Resultados!G15=""),"",IF(AND(F15=Resultados!F15,G15=Resultados!G15),2,IF(((F15&gt;G15)=(Resultados!F15&gt;Resultados!G15))*((F15&lt;G15)=(Resultados!F15&lt;Resultados!G15)),1,0)))</f>
        <v/>
      </c>
    </row>
    <row r="16" spans="1:12" ht="16.2" thickBot="1" x14ac:dyDescent="0.35">
      <c r="A16" s="94"/>
      <c r="B16" s="7">
        <v>46197</v>
      </c>
      <c r="C16" s="8">
        <v>0.875</v>
      </c>
      <c r="D16" s="9" t="s">
        <v>14</v>
      </c>
      <c r="E16" s="10" t="s">
        <v>19</v>
      </c>
      <c r="F16" s="25">
        <v>2</v>
      </c>
      <c r="G16" s="25">
        <v>1</v>
      </c>
      <c r="H16" s="21" t="s">
        <v>16</v>
      </c>
      <c r="J16" s="1" t="str">
        <f>IF(OR(Resultados!F16="",Resultados!G16=""),"",IF(AND(F16=Resultados!F16,G16=Resultados!G16),2,IF(((F16&gt;G16)=(Resultados!F16&gt;Resultados!G16))*((F16&lt;G16)=(Resultados!F16&lt;Resultados!G16)),1,0)))</f>
        <v/>
      </c>
    </row>
    <row r="17" spans="1:10" ht="16.2" thickBot="1" x14ac:dyDescent="0.35">
      <c r="A17" s="95"/>
      <c r="B17" s="12">
        <v>46197</v>
      </c>
      <c r="C17" s="13">
        <v>0.875</v>
      </c>
      <c r="D17" s="14" t="s">
        <v>14</v>
      </c>
      <c r="E17" s="15" t="s">
        <v>17</v>
      </c>
      <c r="F17" s="25">
        <v>0</v>
      </c>
      <c r="G17" s="25">
        <v>0</v>
      </c>
      <c r="H17" s="21" t="s">
        <v>18</v>
      </c>
      <c r="J17" s="1" t="str">
        <f>IF(OR(Resultados!F17="",Resultados!G17=""),"",IF(AND(F17=Resultados!F17,G17=Resultados!G17),2,IF(((F17&gt;G17)=(Resultados!F17&gt;Resultados!G17))*((F17&lt;G17)=(Resultados!F17&lt;Resultados!G17)),1,0)))</f>
        <v/>
      </c>
    </row>
    <row r="18" spans="1:10" ht="16.2" thickBot="1" x14ac:dyDescent="0.35">
      <c r="A18" s="17"/>
      <c r="B18" s="18"/>
      <c r="C18" s="18"/>
      <c r="D18" s="18"/>
      <c r="E18" s="18"/>
      <c r="F18" s="18"/>
      <c r="G18" s="18"/>
      <c r="H18" s="22"/>
    </row>
    <row r="19" spans="1:10" ht="16.2" thickBot="1" x14ac:dyDescent="0.35">
      <c r="A19" s="16"/>
      <c r="B19" s="4" t="s">
        <v>1</v>
      </c>
      <c r="C19" s="4" t="s">
        <v>2</v>
      </c>
      <c r="D19" s="4" t="s">
        <v>3</v>
      </c>
      <c r="E19" s="5" t="s">
        <v>4</v>
      </c>
      <c r="F19" s="6" t="s">
        <v>5</v>
      </c>
      <c r="G19" s="6" t="s">
        <v>5</v>
      </c>
      <c r="H19" s="23" t="s">
        <v>6</v>
      </c>
    </row>
    <row r="20" spans="1:10" ht="16.2" thickBot="1" x14ac:dyDescent="0.35">
      <c r="A20" s="96" t="s">
        <v>20</v>
      </c>
      <c r="B20" s="7">
        <v>46187</v>
      </c>
      <c r="C20" s="8">
        <v>0</v>
      </c>
      <c r="D20" s="9" t="s">
        <v>8</v>
      </c>
      <c r="E20" s="10" t="s">
        <v>21</v>
      </c>
      <c r="F20" s="11">
        <v>1</v>
      </c>
      <c r="G20" s="11">
        <v>1</v>
      </c>
      <c r="H20" s="21" t="s">
        <v>22</v>
      </c>
    </row>
    <row r="21" spans="1:10" ht="16.2" thickBot="1" x14ac:dyDescent="0.35">
      <c r="A21" s="97"/>
      <c r="B21" s="7">
        <v>46187</v>
      </c>
      <c r="C21" s="8">
        <v>0.125</v>
      </c>
      <c r="D21" s="9" t="s">
        <v>8</v>
      </c>
      <c r="E21" s="10" t="s">
        <v>23</v>
      </c>
      <c r="F21" s="26">
        <v>0</v>
      </c>
      <c r="G21" s="26">
        <v>2</v>
      </c>
      <c r="H21" s="21" t="s">
        <v>24</v>
      </c>
      <c r="J21" s="1">
        <f>IF(OR(Resultados!F21="",Resultados!G21=""),"",IF(AND(F21=Resultados!F21,G21=Resultados!G21),2,IF(((F21&gt;G21)=(Resultados!F21&gt;Resultados!G21))*((F21&lt;G21)=(Resultados!F21&lt;Resultados!G21)),1,0)))</f>
        <v>1</v>
      </c>
    </row>
    <row r="22" spans="1:10" ht="16.2" thickBot="1" x14ac:dyDescent="0.35">
      <c r="A22" s="97"/>
      <c r="B22" s="7">
        <v>46193</v>
      </c>
      <c r="C22" s="8">
        <v>0</v>
      </c>
      <c r="D22" s="9" t="s">
        <v>13</v>
      </c>
      <c r="E22" s="10" t="s">
        <v>24</v>
      </c>
      <c r="F22" s="25">
        <v>0</v>
      </c>
      <c r="G22" s="25">
        <v>2</v>
      </c>
      <c r="H22" s="21" t="s">
        <v>22</v>
      </c>
      <c r="J22" s="1" t="str">
        <f>IF(OR(Resultados!F22="",Resultados!G22=""),"",IF(AND(F22=Resultados!F22,G22=Resultados!G22),2,IF(((F22&gt;G22)=(Resultados!F22&gt;Resultados!G22))*((F22&lt;G22)=(Resultados!F22&lt;Resultados!G22)),1,0)))</f>
        <v/>
      </c>
    </row>
    <row r="23" spans="1:10" ht="16.2" thickBot="1" x14ac:dyDescent="0.35">
      <c r="A23" s="97"/>
      <c r="B23" s="7">
        <v>46193</v>
      </c>
      <c r="C23" s="8">
        <v>0.10416666666666667</v>
      </c>
      <c r="D23" s="9" t="s">
        <v>13</v>
      </c>
      <c r="E23" s="10" t="s">
        <v>21</v>
      </c>
      <c r="F23" s="25">
        <v>2</v>
      </c>
      <c r="G23" s="25">
        <v>0</v>
      </c>
      <c r="H23" s="21" t="s">
        <v>23</v>
      </c>
      <c r="J23" s="1" t="str">
        <f>IF(OR(Resultados!F23="",Resultados!G23=""),"",IF(AND(F23=Resultados!F23,G23=Resultados!G23),2,IF(((F23&gt;G23)=(Resultados!F23&gt;Resultados!G23))*((F23&lt;G23)=(Resultados!F23&lt;Resultados!G23)),1,0)))</f>
        <v/>
      </c>
    </row>
    <row r="24" spans="1:10" ht="16.2" thickBot="1" x14ac:dyDescent="0.35">
      <c r="A24" s="97"/>
      <c r="B24" s="7">
        <v>46198</v>
      </c>
      <c r="C24" s="8">
        <v>0</v>
      </c>
      <c r="D24" s="9" t="s">
        <v>14</v>
      </c>
      <c r="E24" s="10" t="s">
        <v>24</v>
      </c>
      <c r="F24" s="25">
        <v>1</v>
      </c>
      <c r="G24" s="25">
        <v>3</v>
      </c>
      <c r="H24" s="21" t="s">
        <v>21</v>
      </c>
      <c r="J24" s="1" t="str">
        <f>IF(OR(Resultados!F24="",Resultados!G24=""),"",IF(AND(F24=Resultados!F24,G24=Resultados!G24),2,IF(((F24&gt;G24)=(Resultados!F24&gt;Resultados!G24))*((F24&lt;G24)=(Resultados!F24&lt;Resultados!G24)),1,0)))</f>
        <v/>
      </c>
    </row>
    <row r="25" spans="1:10" ht="16.2" thickBot="1" x14ac:dyDescent="0.35">
      <c r="A25" s="98"/>
      <c r="B25" s="12">
        <v>46198</v>
      </c>
      <c r="C25" s="13">
        <v>0</v>
      </c>
      <c r="D25" s="14" t="s">
        <v>14</v>
      </c>
      <c r="E25" s="15" t="s">
        <v>22</v>
      </c>
      <c r="F25" s="25">
        <v>3</v>
      </c>
      <c r="G25" s="25">
        <v>0</v>
      </c>
      <c r="H25" s="21" t="s">
        <v>23</v>
      </c>
      <c r="J25" s="1" t="str">
        <f>IF(OR(Resultados!F25="",Resultados!G25=""),"",IF(AND(F25=Resultados!F25,G25=Resultados!G25),2,IF(((F25&gt;G25)=(Resultados!F25&gt;Resultados!G25))*((F25&lt;G25)=(Resultados!F25&lt;Resultados!G25)),1,0)))</f>
        <v/>
      </c>
    </row>
    <row r="26" spans="1:10" ht="16.2" thickBot="1" x14ac:dyDescent="0.35">
      <c r="A26" s="19"/>
      <c r="B26" s="19"/>
      <c r="C26" s="19"/>
      <c r="D26" s="19"/>
      <c r="E26" s="19"/>
      <c r="F26" s="19"/>
      <c r="G26" s="19"/>
      <c r="H26" s="24"/>
    </row>
    <row r="27" spans="1:10" ht="16.2" thickBot="1" x14ac:dyDescent="0.35">
      <c r="A27" s="16"/>
      <c r="B27" s="4" t="s">
        <v>1</v>
      </c>
      <c r="C27" s="4" t="s">
        <v>2</v>
      </c>
      <c r="D27" s="4" t="s">
        <v>3</v>
      </c>
      <c r="E27" s="5" t="s">
        <v>4</v>
      </c>
      <c r="F27" s="6" t="s">
        <v>5</v>
      </c>
      <c r="G27" s="6" t="s">
        <v>5</v>
      </c>
      <c r="H27" s="23" t="s">
        <v>6</v>
      </c>
    </row>
    <row r="28" spans="1:10" ht="16.2" thickBot="1" x14ac:dyDescent="0.35">
      <c r="A28" s="99" t="s">
        <v>25</v>
      </c>
      <c r="B28" s="7">
        <v>46186</v>
      </c>
      <c r="C28" s="8">
        <v>0.125</v>
      </c>
      <c r="D28" s="9" t="s">
        <v>8</v>
      </c>
      <c r="E28" s="10" t="s">
        <v>26</v>
      </c>
      <c r="F28" s="11">
        <v>4</v>
      </c>
      <c r="G28" s="11">
        <v>1</v>
      </c>
      <c r="H28" s="21" t="s">
        <v>27</v>
      </c>
    </row>
    <row r="29" spans="1:10" ht="16.2" thickBot="1" x14ac:dyDescent="0.35">
      <c r="A29" s="100"/>
      <c r="B29" s="7">
        <v>46187</v>
      </c>
      <c r="C29" s="8">
        <v>0.25</v>
      </c>
      <c r="D29" s="9" t="s">
        <v>8</v>
      </c>
      <c r="E29" s="10" t="s">
        <v>28</v>
      </c>
      <c r="F29" s="26">
        <v>3</v>
      </c>
      <c r="G29" s="26">
        <v>1</v>
      </c>
      <c r="H29" s="21" t="s">
        <v>29</v>
      </c>
      <c r="J29" s="1">
        <f>IF(OR(Resultados!F29="",Resultados!G29=""),"",IF(AND(F29=Resultados!F29,G29=Resultados!G29),2,IF(((F29&gt;G29)=(Resultados!F29&gt;Resultados!G29))*((F29&lt;G29)=(Resultados!F29&lt;Resultados!G29)),1,0)))</f>
        <v>1</v>
      </c>
    </row>
    <row r="30" spans="1:10" ht="16.2" thickBot="1" x14ac:dyDescent="0.35">
      <c r="A30" s="100"/>
      <c r="B30" s="7">
        <v>46192</v>
      </c>
      <c r="C30" s="8">
        <v>0.875</v>
      </c>
      <c r="D30" s="9" t="s">
        <v>13</v>
      </c>
      <c r="E30" s="10" t="s">
        <v>26</v>
      </c>
      <c r="F30" s="25">
        <v>3</v>
      </c>
      <c r="G30" s="25">
        <v>1</v>
      </c>
      <c r="H30" s="21" t="s">
        <v>28</v>
      </c>
      <c r="J30" s="1" t="str">
        <f>IF(OR(Resultados!F30="",Resultados!G30=""),"",IF(AND(F30=Resultados!F30,G30=Resultados!G30),2,IF(((F30&gt;G30)=(Resultados!F30&gt;Resultados!G30))*((F30&lt;G30)=(Resultados!F30&lt;Resultados!G30)),1,0)))</f>
        <v/>
      </c>
    </row>
    <row r="31" spans="1:10" ht="16.2" thickBot="1" x14ac:dyDescent="0.35">
      <c r="A31" s="100"/>
      <c r="B31" s="7">
        <v>46193</v>
      </c>
      <c r="C31" s="8">
        <v>0.20833333333333334</v>
      </c>
      <c r="D31" s="9" t="s">
        <v>13</v>
      </c>
      <c r="E31" s="10" t="s">
        <v>29</v>
      </c>
      <c r="F31" s="25">
        <v>1</v>
      </c>
      <c r="G31" s="25">
        <v>2</v>
      </c>
      <c r="H31" s="21" t="s">
        <v>27</v>
      </c>
      <c r="J31" s="1" t="str">
        <f>IF(OR(Resultados!F31="",Resultados!G31=""),"",IF(AND(F31=Resultados!F31,G31=Resultados!G31),2,IF(((F31&gt;G31)=(Resultados!F31&gt;Resultados!G31))*((F31&lt;G31)=(Resultados!F31&lt;Resultados!G31)),1,0)))</f>
        <v/>
      </c>
    </row>
    <row r="32" spans="1:10" ht="16.2" thickBot="1" x14ac:dyDescent="0.35">
      <c r="A32" s="100"/>
      <c r="B32" s="7">
        <v>46199</v>
      </c>
      <c r="C32" s="8">
        <v>0.16666666666666666</v>
      </c>
      <c r="D32" s="9" t="s">
        <v>14</v>
      </c>
      <c r="E32" s="10" t="s">
        <v>29</v>
      </c>
      <c r="F32" s="25">
        <v>1</v>
      </c>
      <c r="G32" s="25">
        <v>1</v>
      </c>
      <c r="H32" s="21" t="s">
        <v>26</v>
      </c>
      <c r="J32" s="1" t="str">
        <f>IF(OR(Resultados!F32="",Resultados!G32=""),"",IF(AND(F32=Resultados!F32,G32=Resultados!G32),2,IF(((F32&gt;G32)=(Resultados!F32&gt;Resultados!G32))*((F32&lt;G32)=(Resultados!F32&lt;Resultados!G32)),1,0)))</f>
        <v/>
      </c>
    </row>
    <row r="33" spans="1:10" ht="16.2" thickBot="1" x14ac:dyDescent="0.35">
      <c r="A33" s="101"/>
      <c r="B33" s="12">
        <v>46199</v>
      </c>
      <c r="C33" s="13">
        <v>0.16666666666666666</v>
      </c>
      <c r="D33" s="14" t="s">
        <v>14</v>
      </c>
      <c r="E33" s="15" t="s">
        <v>27</v>
      </c>
      <c r="F33" s="25">
        <v>1</v>
      </c>
      <c r="G33" s="25">
        <v>0</v>
      </c>
      <c r="H33" s="21" t="s">
        <v>28</v>
      </c>
      <c r="J33" s="1" t="str">
        <f>IF(OR(Resultados!F33="",Resultados!G33=""),"",IF(AND(F33=Resultados!F33,G33=Resultados!G33),2,IF(((F33&gt;G33)=(Resultados!F33&gt;Resultados!G33))*((F33&lt;G33)=(Resultados!F33&lt;Resultados!G33)),1,0)))</f>
        <v/>
      </c>
    </row>
    <row r="34" spans="1:10" ht="16.2" thickBot="1" x14ac:dyDescent="0.35">
      <c r="A34" s="17"/>
      <c r="B34" s="18"/>
      <c r="C34" s="18"/>
      <c r="D34" s="18"/>
      <c r="E34" s="18"/>
      <c r="F34" s="18"/>
      <c r="G34" s="18"/>
      <c r="H34" s="22"/>
    </row>
    <row r="35" spans="1:10" ht="16.2" thickBot="1" x14ac:dyDescent="0.35">
      <c r="A35" s="16"/>
      <c r="B35" s="4" t="s">
        <v>1</v>
      </c>
      <c r="C35" s="4" t="s">
        <v>2</v>
      </c>
      <c r="D35" s="4" t="s">
        <v>3</v>
      </c>
      <c r="E35" s="5" t="s">
        <v>4</v>
      </c>
      <c r="F35" s="6" t="s">
        <v>5</v>
      </c>
      <c r="G35" s="6" t="s">
        <v>5</v>
      </c>
      <c r="H35" s="23" t="s">
        <v>6</v>
      </c>
    </row>
    <row r="36" spans="1:10" ht="16.2" thickBot="1" x14ac:dyDescent="0.35">
      <c r="A36" s="102" t="s">
        <v>30</v>
      </c>
      <c r="B36" s="7">
        <v>46187</v>
      </c>
      <c r="C36" s="8">
        <v>0.79166666666666663</v>
      </c>
      <c r="D36" s="9" t="s">
        <v>8</v>
      </c>
      <c r="E36" s="10" t="s">
        <v>31</v>
      </c>
      <c r="F36" s="26">
        <v>3</v>
      </c>
      <c r="G36" s="26">
        <v>0</v>
      </c>
      <c r="H36" s="21" t="s">
        <v>32</v>
      </c>
      <c r="J36" s="1">
        <f>IF(OR(Resultados!F36="",Resultados!G36=""),"",IF(AND(F36=Resultados!F36,G36=Resultados!G36),2,IF(((F36&gt;G36)=(Resultados!F36&gt;Resultados!G36))*((F36&lt;G36)=(Resultados!F36&lt;Resultados!G36)),1,0)))</f>
        <v>1</v>
      </c>
    </row>
    <row r="37" spans="1:10" ht="16.2" thickBot="1" x14ac:dyDescent="0.35">
      <c r="A37" s="103"/>
      <c r="B37" s="7">
        <v>46188</v>
      </c>
      <c r="C37" s="8">
        <v>4.1666666666666664E-2</v>
      </c>
      <c r="D37" s="9" t="s">
        <v>8</v>
      </c>
      <c r="E37" s="10" t="s">
        <v>33</v>
      </c>
      <c r="F37" s="26">
        <v>0</v>
      </c>
      <c r="G37" s="26">
        <v>2</v>
      </c>
      <c r="H37" s="21" t="s">
        <v>34</v>
      </c>
      <c r="J37" s="1">
        <f>IF(OR(Resultados!F37="",Resultados!G37=""),"",IF(AND(F37=Resultados!F37,G37=Resultados!G37),2,IF(((F37&gt;G37)=(Resultados!F37&gt;Resultados!G37))*((F37&lt;G37)=(Resultados!F37&lt;Resultados!G37)),1,0)))</f>
        <v>0</v>
      </c>
    </row>
    <row r="38" spans="1:10" ht="16.2" thickBot="1" x14ac:dyDescent="0.35">
      <c r="A38" s="103"/>
      <c r="B38" s="7">
        <v>46193</v>
      </c>
      <c r="C38" s="8">
        <v>0.91666666666666663</v>
      </c>
      <c r="D38" s="9" t="s">
        <v>13</v>
      </c>
      <c r="E38" s="10" t="s">
        <v>31</v>
      </c>
      <c r="F38" s="25">
        <v>2</v>
      </c>
      <c r="G38" s="25">
        <v>0</v>
      </c>
      <c r="H38" s="21" t="s">
        <v>33</v>
      </c>
      <c r="J38" s="1" t="str">
        <f>IF(OR(Resultados!F38="",Resultados!G38=""),"",IF(AND(F38=Resultados!F38,G38=Resultados!G38),2,IF(((F38&gt;G38)=(Resultados!F38&gt;Resultados!G38))*((F38&lt;G38)=(Resultados!F38&lt;Resultados!G38)),1,0)))</f>
        <v/>
      </c>
    </row>
    <row r="39" spans="1:10" ht="16.2" thickBot="1" x14ac:dyDescent="0.35">
      <c r="A39" s="103"/>
      <c r="B39" s="7">
        <v>46194</v>
      </c>
      <c r="C39" s="8">
        <v>8.3333333333333329E-2</v>
      </c>
      <c r="D39" s="9" t="s">
        <v>13</v>
      </c>
      <c r="E39" s="10" t="s">
        <v>34</v>
      </c>
      <c r="F39" s="25">
        <v>3</v>
      </c>
      <c r="G39" s="25">
        <v>0</v>
      </c>
      <c r="H39" s="21" t="s">
        <v>32</v>
      </c>
      <c r="J39" s="1" t="str">
        <f>IF(OR(Resultados!F39="",Resultados!G39=""),"",IF(AND(F39=Resultados!F39,G39=Resultados!G39),2,IF(((F39&gt;G39)=(Resultados!F39&gt;Resultados!G39))*((F39&lt;G39)=(Resultados!F39&lt;Resultados!G39)),1,0)))</f>
        <v/>
      </c>
    </row>
    <row r="40" spans="1:10" ht="16.2" thickBot="1" x14ac:dyDescent="0.35">
      <c r="A40" s="103"/>
      <c r="B40" s="7">
        <v>46198</v>
      </c>
      <c r="C40" s="8">
        <v>0.91666666666666663</v>
      </c>
      <c r="D40" s="9" t="s">
        <v>14</v>
      </c>
      <c r="E40" s="10" t="s">
        <v>32</v>
      </c>
      <c r="F40" s="25">
        <v>1</v>
      </c>
      <c r="G40" s="25">
        <v>1</v>
      </c>
      <c r="H40" s="21" t="s">
        <v>33</v>
      </c>
      <c r="J40" s="1" t="str">
        <f>IF(OR(Resultados!F40="",Resultados!G40=""),"",IF(AND(F40=Resultados!F40,G40=Resultados!G40),2,IF(((F40&gt;G40)=(Resultados!F40&gt;Resultados!G40))*((F40&lt;G40)=(Resultados!F40&lt;Resultados!G40)),1,0)))</f>
        <v/>
      </c>
    </row>
    <row r="41" spans="1:10" ht="16.2" thickBot="1" x14ac:dyDescent="0.35">
      <c r="A41" s="104"/>
      <c r="B41" s="12">
        <v>46198</v>
      </c>
      <c r="C41" s="13">
        <v>0.91666666666666663</v>
      </c>
      <c r="D41" s="14" t="s">
        <v>14</v>
      </c>
      <c r="E41" s="15" t="s">
        <v>34</v>
      </c>
      <c r="F41" s="25">
        <v>1</v>
      </c>
      <c r="G41" s="25">
        <v>2</v>
      </c>
      <c r="H41" s="21" t="s">
        <v>31</v>
      </c>
      <c r="J41" s="1" t="str">
        <f>IF(OR(Resultados!F41="",Resultados!G41=""),"",IF(AND(F41=Resultados!F41,G41=Resultados!G41),2,IF(((F41&gt;G41)=(Resultados!F41&gt;Resultados!G41))*((F41&lt;G41)=(Resultados!F41&lt;Resultados!G41)),1,0)))</f>
        <v/>
      </c>
    </row>
    <row r="42" spans="1:10" ht="16.2" thickBot="1" x14ac:dyDescent="0.35">
      <c r="A42" s="17"/>
      <c r="B42" s="18"/>
      <c r="C42" s="18"/>
      <c r="D42" s="18"/>
      <c r="E42" s="18"/>
      <c r="F42" s="18"/>
      <c r="G42" s="18"/>
      <c r="H42" s="22"/>
    </row>
    <row r="43" spans="1:10" ht="16.2" thickBot="1" x14ac:dyDescent="0.35">
      <c r="A43" s="16"/>
      <c r="B43" s="4" t="s">
        <v>1</v>
      </c>
      <c r="C43" s="4" t="s">
        <v>2</v>
      </c>
      <c r="D43" s="4" t="s">
        <v>3</v>
      </c>
      <c r="E43" s="5" t="s">
        <v>4</v>
      </c>
      <c r="F43" s="6" t="s">
        <v>5</v>
      </c>
      <c r="G43" s="6" t="s">
        <v>5</v>
      </c>
      <c r="H43" s="23" t="s">
        <v>6</v>
      </c>
    </row>
    <row r="44" spans="1:10" ht="16.2" thickBot="1" x14ac:dyDescent="0.35">
      <c r="A44" s="72" t="s">
        <v>35</v>
      </c>
      <c r="B44" s="7">
        <v>46187</v>
      </c>
      <c r="C44" s="8">
        <v>0.91666666666666663</v>
      </c>
      <c r="D44" s="9" t="s">
        <v>8</v>
      </c>
      <c r="E44" s="10" t="s">
        <v>36</v>
      </c>
      <c r="F44" s="26">
        <v>0</v>
      </c>
      <c r="G44" s="26">
        <v>1</v>
      </c>
      <c r="H44" s="21" t="s">
        <v>37</v>
      </c>
      <c r="J44" s="1">
        <f>IF(OR(Resultados!F44="",Resultados!G44=""),"",IF(AND(F44=Resultados!F44,G44=Resultados!G44),2,IF(((F44&gt;G44)=(Resultados!F44&gt;Resultados!G44))*((F44&lt;G44)=(Resultados!F44&lt;Resultados!G44)),1,0)))</f>
        <v>0</v>
      </c>
    </row>
    <row r="45" spans="1:10" ht="16.2" thickBot="1" x14ac:dyDescent="0.35">
      <c r="A45" s="73"/>
      <c r="B45" s="7">
        <v>46188</v>
      </c>
      <c r="C45" s="8">
        <v>0.16666666666666666</v>
      </c>
      <c r="D45" s="9" t="s">
        <v>8</v>
      </c>
      <c r="E45" s="10" t="s">
        <v>38</v>
      </c>
      <c r="F45" s="26">
        <v>2</v>
      </c>
      <c r="G45" s="26">
        <v>0</v>
      </c>
      <c r="H45" s="21" t="s">
        <v>39</v>
      </c>
      <c r="J45" s="1">
        <f>IF(OR(Resultados!F45="",Resultados!G45=""),"",IF(AND(F45=Resultados!F45,G45=Resultados!G45),2,IF(((F45&gt;G45)=(Resultados!F45&gt;Resultados!G45))*((F45&lt;G45)=(Resultados!F45&lt;Resultados!G45)),1,0)))</f>
        <v>1</v>
      </c>
    </row>
    <row r="46" spans="1:10" ht="16.2" thickBot="1" x14ac:dyDescent="0.35">
      <c r="A46" s="73"/>
      <c r="B46" s="7">
        <v>46193</v>
      </c>
      <c r="C46" s="8">
        <v>0.79166666666666663</v>
      </c>
      <c r="D46" s="9" t="s">
        <v>13</v>
      </c>
      <c r="E46" s="10" t="s">
        <v>36</v>
      </c>
      <c r="F46" s="25">
        <v>2</v>
      </c>
      <c r="G46" s="25">
        <v>1</v>
      </c>
      <c r="H46" s="21" t="s">
        <v>38</v>
      </c>
      <c r="J46" s="1" t="str">
        <f>IF(OR(Resultados!F46="",Resultados!G46=""),"",IF(AND(F46=Resultados!F46,G46=Resultados!G46),2,IF(((F46&gt;G46)=(Resultados!F46&gt;Resultados!G46))*((F46&lt;G46)=(Resultados!F46&lt;Resultados!G46)),1,0)))</f>
        <v/>
      </c>
    </row>
    <row r="47" spans="1:10" ht="16.2" thickBot="1" x14ac:dyDescent="0.35">
      <c r="A47" s="73"/>
      <c r="B47" s="7">
        <v>46194</v>
      </c>
      <c r="C47" s="8">
        <v>0.25</v>
      </c>
      <c r="D47" s="9" t="s">
        <v>13</v>
      </c>
      <c r="E47" s="10" t="s">
        <v>39</v>
      </c>
      <c r="F47" s="25">
        <v>0</v>
      </c>
      <c r="G47" s="25">
        <v>2</v>
      </c>
      <c r="H47" s="21" t="s">
        <v>37</v>
      </c>
      <c r="J47" s="1" t="str">
        <f>IF(OR(Resultados!F47="",Resultados!G47=""),"",IF(AND(F47=Resultados!F47,G47=Resultados!G47),2,IF(((F47&gt;G47)=(Resultados!F47&gt;Resultados!G47))*((F47&lt;G47)=(Resultados!F47&lt;Resultados!G47)),1,0)))</f>
        <v/>
      </c>
    </row>
    <row r="48" spans="1:10" ht="16.2" thickBot="1" x14ac:dyDescent="0.35">
      <c r="A48" s="73"/>
      <c r="B48" s="7">
        <v>46199</v>
      </c>
      <c r="C48" s="8">
        <v>4.1666666666666664E-2</v>
      </c>
      <c r="D48" s="9" t="s">
        <v>14</v>
      </c>
      <c r="E48" s="10" t="s">
        <v>37</v>
      </c>
      <c r="F48" s="25">
        <v>2</v>
      </c>
      <c r="G48" s="25">
        <v>1</v>
      </c>
      <c r="H48" s="21" t="s">
        <v>38</v>
      </c>
      <c r="J48" s="1" t="str">
        <f>IF(OR(Resultados!F48="",Resultados!G48=""),"",IF(AND(F48=Resultados!F48,G48=Resultados!G48),2,IF(((F48&gt;G48)=(Resultados!F48&gt;Resultados!G48))*((F48&lt;G48)=(Resultados!F48&lt;Resultados!G48)),1,0)))</f>
        <v/>
      </c>
    </row>
    <row r="49" spans="1:10" ht="16.2" thickBot="1" x14ac:dyDescent="0.35">
      <c r="A49" s="74"/>
      <c r="B49" s="12">
        <v>46199</v>
      </c>
      <c r="C49" s="13">
        <v>4.1666666666666664E-2</v>
      </c>
      <c r="D49" s="14" t="s">
        <v>14</v>
      </c>
      <c r="E49" s="15" t="s">
        <v>39</v>
      </c>
      <c r="F49" s="25">
        <v>0</v>
      </c>
      <c r="G49" s="25">
        <v>2</v>
      </c>
      <c r="H49" s="21" t="s">
        <v>36</v>
      </c>
      <c r="J49" s="1" t="str">
        <f>IF(OR(Resultados!F49="",Resultados!G49=""),"",IF(AND(F49=Resultados!F49,G49=Resultados!G49),2,IF(((F49&gt;G49)=(Resultados!F49&gt;Resultados!G49))*((F49&lt;G49)=(Resultados!F49&lt;Resultados!G49)),1,0)))</f>
        <v/>
      </c>
    </row>
    <row r="50" spans="1:10" ht="16.2" thickBot="1" x14ac:dyDescent="0.35">
      <c r="A50" s="17"/>
      <c r="B50" s="18"/>
      <c r="C50" s="18"/>
      <c r="D50" s="18"/>
      <c r="E50" s="18"/>
      <c r="F50" s="18"/>
      <c r="G50" s="18"/>
      <c r="H50" s="22"/>
    </row>
    <row r="51" spans="1:10" ht="16.2" thickBot="1" x14ac:dyDescent="0.35">
      <c r="A51" s="16"/>
      <c r="B51" s="4" t="s">
        <v>1</v>
      </c>
      <c r="C51" s="4" t="s">
        <v>2</v>
      </c>
      <c r="D51" s="4" t="s">
        <v>3</v>
      </c>
      <c r="E51" s="5" t="s">
        <v>4</v>
      </c>
      <c r="F51" s="6" t="s">
        <v>5</v>
      </c>
      <c r="G51" s="6" t="s">
        <v>5</v>
      </c>
      <c r="H51" s="23" t="s">
        <v>6</v>
      </c>
    </row>
    <row r="52" spans="1:10" ht="16.2" thickBot="1" x14ac:dyDescent="0.35">
      <c r="A52" s="75" t="s">
        <v>40</v>
      </c>
      <c r="B52" s="7">
        <v>46188</v>
      </c>
      <c r="C52" s="8">
        <v>0.875</v>
      </c>
      <c r="D52" s="9" t="s">
        <v>8</v>
      </c>
      <c r="E52" s="10" t="s">
        <v>41</v>
      </c>
      <c r="F52" s="26">
        <v>1</v>
      </c>
      <c r="G52" s="26">
        <v>1</v>
      </c>
      <c r="H52" s="21" t="s">
        <v>42</v>
      </c>
      <c r="J52" s="1" t="str">
        <f>IF(OR(Resultados!F52="",Resultados!G52=""),"",IF(AND(F52=Resultados!F52,G52=Resultados!G52),2,IF(((F52&gt;G52)=(Resultados!F52&gt;Resultados!G52))*((F52&lt;G52)=(Resultados!F52&lt;Resultados!G52)),1,0)))</f>
        <v/>
      </c>
    </row>
    <row r="53" spans="1:10" ht="16.2" thickBot="1" x14ac:dyDescent="0.35">
      <c r="A53" s="76"/>
      <c r="B53" s="7">
        <v>46189</v>
      </c>
      <c r="C53" s="8">
        <v>0.125</v>
      </c>
      <c r="D53" s="9" t="s">
        <v>8</v>
      </c>
      <c r="E53" s="10" t="s">
        <v>43</v>
      </c>
      <c r="F53" s="26">
        <v>0</v>
      </c>
      <c r="G53" s="26">
        <v>2</v>
      </c>
      <c r="H53" s="21" t="s">
        <v>44</v>
      </c>
      <c r="J53" s="1" t="str">
        <f>IF(OR(Resultados!F53="",Resultados!G53=""),"",IF(AND(F53=Resultados!F53,G53=Resultados!G53),2,IF(((F53&gt;G53)=(Resultados!F53&gt;Resultados!G53))*((F53&lt;G53)=(Resultados!F53&lt;Resultados!G53)),1,0)))</f>
        <v/>
      </c>
    </row>
    <row r="54" spans="1:10" ht="16.2" thickBot="1" x14ac:dyDescent="0.35">
      <c r="A54" s="76"/>
      <c r="B54" s="7">
        <v>46194</v>
      </c>
      <c r="C54" s="8">
        <v>0.875</v>
      </c>
      <c r="D54" s="9" t="s">
        <v>13</v>
      </c>
      <c r="E54" s="10" t="s">
        <v>41</v>
      </c>
      <c r="F54" s="25">
        <v>1</v>
      </c>
      <c r="G54" s="25">
        <v>0</v>
      </c>
      <c r="H54" s="21" t="s">
        <v>43</v>
      </c>
      <c r="J54" s="1" t="str">
        <f>IF(OR(Resultados!F54="",Resultados!G54=""),"",IF(AND(F54=Resultados!F54,G54=Resultados!G54),2,IF(((F54&gt;G54)=(Resultados!F54&gt;Resultados!G54))*((F54&lt;G54)=(Resultados!F54&lt;Resultados!G54)),1,0)))</f>
        <v/>
      </c>
    </row>
    <row r="55" spans="1:10" ht="16.2" thickBot="1" x14ac:dyDescent="0.35">
      <c r="A55" s="76"/>
      <c r="B55" s="7">
        <v>46195</v>
      </c>
      <c r="C55" s="8">
        <v>0.125</v>
      </c>
      <c r="D55" s="9" t="s">
        <v>13</v>
      </c>
      <c r="E55" s="10" t="s">
        <v>44</v>
      </c>
      <c r="F55" s="25">
        <v>0</v>
      </c>
      <c r="G55" s="25">
        <v>1</v>
      </c>
      <c r="H55" s="21" t="s">
        <v>42</v>
      </c>
      <c r="J55" s="1" t="str">
        <f>IF(OR(Resultados!F55="",Resultados!G55=""),"",IF(AND(F55=Resultados!F55,G55=Resultados!G55),2,IF(((F55&gt;G55)=(Resultados!F55&gt;Resultados!G55))*((F55&lt;G55)=(Resultados!F55&lt;Resultados!G55)),1,0)))</f>
        <v/>
      </c>
    </row>
    <row r="56" spans="1:10" ht="16.2" thickBot="1" x14ac:dyDescent="0.35">
      <c r="A56" s="76"/>
      <c r="B56" s="7">
        <v>46200</v>
      </c>
      <c r="C56" s="8">
        <v>0.20833333333333334</v>
      </c>
      <c r="D56" s="9" t="s">
        <v>14</v>
      </c>
      <c r="E56" s="10" t="s">
        <v>42</v>
      </c>
      <c r="F56" s="25">
        <v>1</v>
      </c>
      <c r="G56" s="25">
        <v>1</v>
      </c>
      <c r="H56" s="21" t="s">
        <v>43</v>
      </c>
      <c r="J56" s="1" t="str">
        <f>IF(OR(Resultados!F56="",Resultados!G56=""),"",IF(AND(F56=Resultados!F56,G56=Resultados!G56),2,IF(((F56&gt;G56)=(Resultados!F56&gt;Resultados!G56))*((F56&lt;G56)=(Resultados!F56&lt;Resultados!G56)),1,0)))</f>
        <v/>
      </c>
    </row>
    <row r="57" spans="1:10" ht="16.2" thickBot="1" x14ac:dyDescent="0.35">
      <c r="A57" s="77"/>
      <c r="B57" s="12">
        <v>46200</v>
      </c>
      <c r="C57" s="13">
        <v>0.20833333333333334</v>
      </c>
      <c r="D57" s="14" t="s">
        <v>14</v>
      </c>
      <c r="E57" s="15" t="s">
        <v>44</v>
      </c>
      <c r="F57" s="25">
        <v>1</v>
      </c>
      <c r="G57" s="25">
        <v>2</v>
      </c>
      <c r="H57" s="21" t="s">
        <v>41</v>
      </c>
      <c r="J57" s="1" t="str">
        <f>IF(OR(Resultados!F57="",Resultados!G57=""),"",IF(AND(F57=Resultados!F57,G57=Resultados!G57),2,IF(((F57&gt;G57)=(Resultados!F57&gt;Resultados!G57))*((F57&lt;G57)=(Resultados!F57&lt;Resultados!G57)),1,0)))</f>
        <v/>
      </c>
    </row>
    <row r="58" spans="1:10" ht="16.2" thickBot="1" x14ac:dyDescent="0.35">
      <c r="A58" s="17"/>
      <c r="B58" s="18"/>
      <c r="C58" s="18"/>
      <c r="D58" s="18"/>
      <c r="E58" s="18"/>
      <c r="F58" s="18"/>
      <c r="G58" s="18"/>
      <c r="H58" s="22"/>
    </row>
    <row r="59" spans="1:10" ht="16.2" thickBot="1" x14ac:dyDescent="0.35">
      <c r="A59" s="16"/>
      <c r="B59" s="4" t="s">
        <v>1</v>
      </c>
      <c r="C59" s="4" t="s">
        <v>2</v>
      </c>
      <c r="D59" s="4" t="s">
        <v>3</v>
      </c>
      <c r="E59" s="5" t="s">
        <v>4</v>
      </c>
      <c r="F59" s="6" t="s">
        <v>5</v>
      </c>
      <c r="G59" s="6" t="s">
        <v>5</v>
      </c>
      <c r="H59" s="23" t="s">
        <v>6</v>
      </c>
    </row>
    <row r="60" spans="1:10" ht="16.2" thickBot="1" x14ac:dyDescent="0.35">
      <c r="A60" s="78" t="s">
        <v>45</v>
      </c>
      <c r="B60" s="7">
        <v>46188</v>
      </c>
      <c r="C60" s="8">
        <v>0.75</v>
      </c>
      <c r="D60" s="9" t="s">
        <v>8</v>
      </c>
      <c r="E60" s="10" t="s">
        <v>46</v>
      </c>
      <c r="F60" s="26">
        <v>3</v>
      </c>
      <c r="G60" s="26">
        <v>1</v>
      </c>
      <c r="H60" s="21" t="s">
        <v>47</v>
      </c>
      <c r="J60" s="1" t="str">
        <f>IF(OR(Resultados!F60="",Resultados!G60=""),"",IF(AND(F60=Resultados!F60,G60=Resultados!G60),2,IF(((F60&gt;G60)=(Resultados!F60&gt;Resultados!G60))*((F60&lt;G60)=(Resultados!F60&lt;Resultados!G60)),1,0)))</f>
        <v/>
      </c>
    </row>
    <row r="61" spans="1:10" ht="16.2" thickBot="1" x14ac:dyDescent="0.35">
      <c r="A61" s="79"/>
      <c r="B61" s="7">
        <v>46189</v>
      </c>
      <c r="C61" s="8">
        <v>0</v>
      </c>
      <c r="D61" s="9" t="s">
        <v>8</v>
      </c>
      <c r="E61" s="10" t="s">
        <v>48</v>
      </c>
      <c r="F61" s="26">
        <v>0</v>
      </c>
      <c r="G61" s="26">
        <v>2</v>
      </c>
      <c r="H61" s="21" t="s">
        <v>49</v>
      </c>
      <c r="J61" s="1" t="str">
        <f>IF(OR(Resultados!F61="",Resultados!G61=""),"",IF(AND(F61=Resultados!F61,G61=Resultados!G61),2,IF(((F61&gt;G61)=(Resultados!F61&gt;Resultados!G61))*((F61&lt;G61)=(Resultados!F61&lt;Resultados!G61)),1,0)))</f>
        <v/>
      </c>
    </row>
    <row r="62" spans="1:10" ht="16.2" thickBot="1" x14ac:dyDescent="0.35">
      <c r="A62" s="79"/>
      <c r="B62" s="7">
        <v>46194</v>
      </c>
      <c r="C62" s="8">
        <v>0.75</v>
      </c>
      <c r="D62" s="9" t="s">
        <v>13</v>
      </c>
      <c r="E62" s="10" t="s">
        <v>46</v>
      </c>
      <c r="F62" s="25">
        <v>2</v>
      </c>
      <c r="G62" s="25">
        <v>0</v>
      </c>
      <c r="H62" s="21" t="s">
        <v>48</v>
      </c>
      <c r="J62" s="1" t="str">
        <f>IF(OR(Resultados!F62="",Resultados!G62=""),"",IF(AND(F62=Resultados!F62,G62=Resultados!G62),2,IF(((F62&gt;G62)=(Resultados!F62&gt;Resultados!G62))*((F62&lt;G62)=(Resultados!F62&lt;Resultados!G62)),1,0)))</f>
        <v/>
      </c>
    </row>
    <row r="63" spans="1:10" ht="16.2" thickBot="1" x14ac:dyDescent="0.35">
      <c r="A63" s="79"/>
      <c r="B63" s="7">
        <v>46195</v>
      </c>
      <c r="C63" s="8">
        <v>0</v>
      </c>
      <c r="D63" s="9" t="s">
        <v>13</v>
      </c>
      <c r="E63" s="10" t="s">
        <v>49</v>
      </c>
      <c r="F63" s="25">
        <v>3</v>
      </c>
      <c r="G63" s="25">
        <v>0</v>
      </c>
      <c r="H63" s="21" t="s">
        <v>47</v>
      </c>
      <c r="J63" s="1" t="str">
        <f>IF(OR(Resultados!F63="",Resultados!G63=""),"",IF(AND(F63=Resultados!F63,G63=Resultados!G63),2,IF(((F63&gt;G63)=(Resultados!F63&gt;Resultados!G63))*((F63&lt;G63)=(Resultados!F63&lt;Resultados!G63)),1,0)))</f>
        <v/>
      </c>
    </row>
    <row r="64" spans="1:10" ht="16.2" thickBot="1" x14ac:dyDescent="0.35">
      <c r="A64" s="79"/>
      <c r="B64" s="7">
        <v>46200</v>
      </c>
      <c r="C64" s="8">
        <v>8.3333333333333329E-2</v>
      </c>
      <c r="D64" s="9" t="s">
        <v>14</v>
      </c>
      <c r="E64" s="10" t="s">
        <v>47</v>
      </c>
      <c r="F64" s="25">
        <v>1</v>
      </c>
      <c r="G64" s="25">
        <v>2</v>
      </c>
      <c r="H64" s="21" t="s">
        <v>48</v>
      </c>
      <c r="J64" s="1" t="str">
        <f>IF(OR(Resultados!F64="",Resultados!G64=""),"",IF(AND(F64=Resultados!F64,G64=Resultados!G64),2,IF(((F64&gt;G64)=(Resultados!F64&gt;Resultados!G64))*((F64&lt;G64)=(Resultados!F64&lt;Resultados!G64)),1,0)))</f>
        <v/>
      </c>
    </row>
    <row r="65" spans="1:10" ht="16.2" thickBot="1" x14ac:dyDescent="0.35">
      <c r="A65" s="80"/>
      <c r="B65" s="12">
        <v>46200</v>
      </c>
      <c r="C65" s="13">
        <v>8.3333333333333329E-2</v>
      </c>
      <c r="D65" s="14" t="s">
        <v>14</v>
      </c>
      <c r="E65" s="15" t="s">
        <v>49</v>
      </c>
      <c r="F65" s="25">
        <v>2</v>
      </c>
      <c r="G65" s="25">
        <v>3</v>
      </c>
      <c r="H65" s="21" t="s">
        <v>46</v>
      </c>
      <c r="J65" s="1" t="str">
        <f>IF(OR(Resultados!F65="",Resultados!G65=""),"",IF(AND(F65=Resultados!F65,G65=Resultados!G65),2,IF(((F65&gt;G65)=(Resultados!F65&gt;Resultados!G65))*((F65&lt;G65)=(Resultados!F65&lt;Resultados!G65)),1,0)))</f>
        <v/>
      </c>
    </row>
    <row r="66" spans="1:10" ht="16.2" thickBot="1" x14ac:dyDescent="0.35">
      <c r="A66" s="17"/>
      <c r="B66" s="18"/>
      <c r="C66" s="18"/>
      <c r="D66" s="18"/>
      <c r="E66" s="18"/>
      <c r="F66" s="18"/>
      <c r="G66" s="18"/>
      <c r="H66" s="22"/>
    </row>
    <row r="67" spans="1:10" ht="16.2" thickBot="1" x14ac:dyDescent="0.35">
      <c r="A67" s="16"/>
      <c r="B67" s="4" t="s">
        <v>1</v>
      </c>
      <c r="C67" s="4" t="s">
        <v>2</v>
      </c>
      <c r="D67" s="4" t="s">
        <v>3</v>
      </c>
      <c r="E67" s="5" t="s">
        <v>4</v>
      </c>
      <c r="F67" s="6" t="s">
        <v>5</v>
      </c>
      <c r="G67" s="6" t="s">
        <v>5</v>
      </c>
      <c r="H67" s="23" t="s">
        <v>6</v>
      </c>
    </row>
    <row r="68" spans="1:10" ht="16.2" thickBot="1" x14ac:dyDescent="0.35">
      <c r="A68" s="81" t="s">
        <v>50</v>
      </c>
      <c r="B68" s="7">
        <v>46189</v>
      </c>
      <c r="C68" s="8">
        <v>0.875</v>
      </c>
      <c r="D68" s="9" t="s">
        <v>8</v>
      </c>
      <c r="E68" s="10" t="s">
        <v>51</v>
      </c>
      <c r="F68" s="26">
        <v>3</v>
      </c>
      <c r="G68" s="26">
        <v>2</v>
      </c>
      <c r="H68" s="21" t="s">
        <v>52</v>
      </c>
      <c r="J68" s="1" t="str">
        <f>IF(OR(Resultados!F68="",Resultados!G68=""),"",IF(AND(F68=Resultados!F68,G68=Resultados!G68),2,IF(((F68&gt;G68)=(Resultados!F68&gt;Resultados!G68))*((F68&lt;G68)=(Resultados!F68&lt;Resultados!G68)),1,0)))</f>
        <v/>
      </c>
    </row>
    <row r="69" spans="1:10" ht="16.2" thickBot="1" x14ac:dyDescent="0.35">
      <c r="A69" s="82"/>
      <c r="B69" s="7">
        <v>46190</v>
      </c>
      <c r="C69" s="8">
        <v>0</v>
      </c>
      <c r="D69" s="9" t="s">
        <v>8</v>
      </c>
      <c r="E69" s="10" t="s">
        <v>53</v>
      </c>
      <c r="F69" s="26">
        <v>1</v>
      </c>
      <c r="G69" s="26">
        <v>2</v>
      </c>
      <c r="H69" s="21" t="s">
        <v>54</v>
      </c>
      <c r="J69" s="1" t="str">
        <f>IF(OR(Resultados!F69="",Resultados!G69=""),"",IF(AND(F69=Resultados!F69,G69=Resultados!G69),2,IF(((F69&gt;G69)=(Resultados!F69&gt;Resultados!G69))*((F69&lt;G69)=(Resultados!F69&lt;Resultados!G69)),1,0)))</f>
        <v/>
      </c>
    </row>
    <row r="70" spans="1:10" ht="16.2" thickBot="1" x14ac:dyDescent="0.35">
      <c r="A70" s="82"/>
      <c r="B70" s="7">
        <v>46195</v>
      </c>
      <c r="C70" s="8">
        <v>0.95833333333333337</v>
      </c>
      <c r="D70" s="9" t="s">
        <v>13</v>
      </c>
      <c r="E70" s="10" t="s">
        <v>51</v>
      </c>
      <c r="F70" s="25">
        <v>1</v>
      </c>
      <c r="G70" s="25">
        <v>0</v>
      </c>
      <c r="H70" s="21" t="s">
        <v>53</v>
      </c>
      <c r="J70" s="1" t="str">
        <f>IF(OR(Resultados!F70="",Resultados!G70=""),"",IF(AND(F70=Resultados!F70,G70=Resultados!G70),2,IF(((F70&gt;G70)=(Resultados!F70&gt;Resultados!G70))*((F70&lt;G70)=(Resultados!F70&lt;Resultados!G70)),1,0)))</f>
        <v/>
      </c>
    </row>
    <row r="71" spans="1:10" ht="16.2" thickBot="1" x14ac:dyDescent="0.35">
      <c r="A71" s="82"/>
      <c r="B71" s="7">
        <v>46196</v>
      </c>
      <c r="C71" s="8">
        <v>8.3333333333333329E-2</v>
      </c>
      <c r="D71" s="9" t="s">
        <v>13</v>
      </c>
      <c r="E71" s="10" t="s">
        <v>54</v>
      </c>
      <c r="F71" s="25">
        <v>2</v>
      </c>
      <c r="G71" s="25">
        <v>2</v>
      </c>
      <c r="H71" s="21" t="s">
        <v>52</v>
      </c>
      <c r="J71" s="1" t="str">
        <f>IF(OR(Resultados!F71="",Resultados!G71=""),"",IF(AND(F71=Resultados!F71,G71=Resultados!G71),2,IF(((F71&gt;G71)=(Resultados!F71&gt;Resultados!G71))*((F71&lt;G71)=(Resultados!F71&lt;Resultados!G71)),1,0)))</f>
        <v/>
      </c>
    </row>
    <row r="72" spans="1:10" ht="16.2" thickBot="1" x14ac:dyDescent="0.35">
      <c r="A72" s="82"/>
      <c r="B72" s="7">
        <v>46199</v>
      </c>
      <c r="C72" s="8">
        <v>0.875</v>
      </c>
      <c r="D72" s="9" t="s">
        <v>14</v>
      </c>
      <c r="E72" s="10" t="s">
        <v>54</v>
      </c>
      <c r="F72" s="25">
        <v>1</v>
      </c>
      <c r="G72" s="25">
        <v>3</v>
      </c>
      <c r="H72" s="21" t="s">
        <v>51</v>
      </c>
      <c r="J72" s="1" t="str">
        <f>IF(OR(Resultados!F72="",Resultados!G72=""),"",IF(AND(F72=Resultados!F72,G72=Resultados!G72),2,IF(((F72&gt;G72)=(Resultados!F72&gt;Resultados!G72))*((F72&lt;G72)=(Resultados!F72&lt;Resultados!G72)),1,0)))</f>
        <v/>
      </c>
    </row>
    <row r="73" spans="1:10" ht="16.2" thickBot="1" x14ac:dyDescent="0.35">
      <c r="A73" s="83"/>
      <c r="B73" s="12">
        <v>46199</v>
      </c>
      <c r="C73" s="13">
        <v>0.875</v>
      </c>
      <c r="D73" s="14" t="s">
        <v>14</v>
      </c>
      <c r="E73" s="15" t="s">
        <v>52</v>
      </c>
      <c r="F73" s="25">
        <v>1</v>
      </c>
      <c r="G73" s="25">
        <v>0</v>
      </c>
      <c r="H73" s="21" t="s">
        <v>53</v>
      </c>
      <c r="J73" s="1" t="str">
        <f>IF(OR(Resultados!F73="",Resultados!G73=""),"",IF(AND(F73=Resultados!F73,G73=Resultados!G73),2,IF(((F73&gt;G73)=(Resultados!F73&gt;Resultados!G73))*((F73&lt;G73)=(Resultados!F73&lt;Resultados!G73)),1,0)))</f>
        <v/>
      </c>
    </row>
    <row r="74" spans="1:10" ht="16.2" thickBot="1" x14ac:dyDescent="0.35">
      <c r="A74" s="17"/>
      <c r="B74" s="18"/>
      <c r="C74" s="18"/>
      <c r="D74" s="18"/>
      <c r="E74" s="18"/>
      <c r="F74" s="18"/>
      <c r="G74" s="18"/>
      <c r="H74" s="22"/>
    </row>
    <row r="75" spans="1:10" ht="16.2" thickBot="1" x14ac:dyDescent="0.35">
      <c r="A75" s="16"/>
      <c r="B75" s="4" t="s">
        <v>1</v>
      </c>
      <c r="C75" s="4" t="s">
        <v>2</v>
      </c>
      <c r="D75" s="4" t="s">
        <v>3</v>
      </c>
      <c r="E75" s="5" t="s">
        <v>4</v>
      </c>
      <c r="F75" s="6" t="s">
        <v>5</v>
      </c>
      <c r="G75" s="6" t="s">
        <v>5</v>
      </c>
      <c r="H75" s="23" t="s">
        <v>6</v>
      </c>
    </row>
    <row r="76" spans="1:10" ht="16.2" thickBot="1" x14ac:dyDescent="0.35">
      <c r="A76" s="84" t="s">
        <v>55</v>
      </c>
      <c r="B76" s="7">
        <v>46190</v>
      </c>
      <c r="C76" s="8">
        <v>0.125</v>
      </c>
      <c r="D76" s="9" t="s">
        <v>8</v>
      </c>
      <c r="E76" s="10" t="s">
        <v>56</v>
      </c>
      <c r="F76" s="26">
        <v>2</v>
      </c>
      <c r="G76" s="26">
        <v>1</v>
      </c>
      <c r="H76" s="21" t="s">
        <v>57</v>
      </c>
      <c r="J76" s="1" t="str">
        <f>IF(OR(Resultados!F76="",Resultados!G76=""),"",IF(AND(F76=Resultados!F76,G76=Resultados!G76),2,IF(((F76&gt;G76)=(Resultados!F76&gt;Resultados!G76))*((F76&lt;G76)=(Resultados!F76&lt;Resultados!G76)),1,0)))</f>
        <v/>
      </c>
    </row>
    <row r="77" spans="1:10" ht="16.2" thickBot="1" x14ac:dyDescent="0.35">
      <c r="A77" s="85"/>
      <c r="B77" s="7">
        <v>46190</v>
      </c>
      <c r="C77" s="8">
        <v>0.25</v>
      </c>
      <c r="D77" s="9" t="s">
        <v>8</v>
      </c>
      <c r="E77" s="10" t="s">
        <v>58</v>
      </c>
      <c r="F77" s="26">
        <v>1</v>
      </c>
      <c r="G77" s="26">
        <v>0</v>
      </c>
      <c r="H77" s="21" t="s">
        <v>59</v>
      </c>
      <c r="J77" s="1" t="str">
        <f>IF(OR(Resultados!F77="",Resultados!G77=""),"",IF(AND(F77=Resultados!F77,G77=Resultados!G77),2,IF(((F77&gt;G77)=(Resultados!F77&gt;Resultados!G77))*((F77&lt;G77)=(Resultados!F77&lt;Resultados!G77)),1,0)))</f>
        <v/>
      </c>
    </row>
    <row r="78" spans="1:10" ht="16.2" thickBot="1" x14ac:dyDescent="0.35">
      <c r="A78" s="85"/>
      <c r="B78" s="7">
        <v>46195</v>
      </c>
      <c r="C78" s="8">
        <v>0.79166666666666663</v>
      </c>
      <c r="D78" s="9" t="s">
        <v>13</v>
      </c>
      <c r="E78" s="10" t="s">
        <v>56</v>
      </c>
      <c r="F78" s="25">
        <v>2</v>
      </c>
      <c r="G78" s="25">
        <v>1</v>
      </c>
      <c r="H78" s="21" t="s">
        <v>58</v>
      </c>
      <c r="J78" s="1" t="str">
        <f>IF(OR(Resultados!F78="",Resultados!G78=""),"",IF(AND(F78=Resultados!F78,G78=Resultados!G78),2,IF(((F78&gt;G78)=(Resultados!F78&gt;Resultados!G78))*((F78&lt;G78)=(Resultados!F78&lt;Resultados!G78)),1,0)))</f>
        <v/>
      </c>
    </row>
    <row r="79" spans="1:10" ht="16.2" thickBot="1" x14ac:dyDescent="0.35">
      <c r="A79" s="85"/>
      <c r="B79" s="7">
        <v>46196</v>
      </c>
      <c r="C79" s="8">
        <v>0.20833333333333334</v>
      </c>
      <c r="D79" s="9" t="s">
        <v>13</v>
      </c>
      <c r="E79" s="10" t="s">
        <v>59</v>
      </c>
      <c r="F79" s="25">
        <v>1</v>
      </c>
      <c r="G79" s="25">
        <v>1</v>
      </c>
      <c r="H79" s="21" t="s">
        <v>57</v>
      </c>
      <c r="J79" s="1" t="str">
        <f>IF(OR(Resultados!F79="",Resultados!G79=""),"",IF(AND(F79=Resultados!F79,G79=Resultados!G79),2,IF(((F79&gt;G79)=(Resultados!F79&gt;Resultados!G79))*((F79&lt;G79)=(Resultados!F79&lt;Resultados!G79)),1,0)))</f>
        <v/>
      </c>
    </row>
    <row r="80" spans="1:10" ht="16.2" thickBot="1" x14ac:dyDescent="0.35">
      <c r="A80" s="85"/>
      <c r="B80" s="7">
        <v>46201</v>
      </c>
      <c r="C80" s="8">
        <v>0.16666666666666666</v>
      </c>
      <c r="D80" s="9" t="s">
        <v>14</v>
      </c>
      <c r="E80" s="10" t="s">
        <v>57</v>
      </c>
      <c r="F80" s="25">
        <v>0</v>
      </c>
      <c r="G80" s="25">
        <v>2</v>
      </c>
      <c r="H80" s="21" t="s">
        <v>58</v>
      </c>
      <c r="J80" s="1" t="str">
        <f>IF(OR(Resultados!F80="",Resultados!G80=""),"",IF(AND(F80=Resultados!F80,G80=Resultados!G80),2,IF(((F80&gt;G80)=(Resultados!F80&gt;Resultados!G80))*((F80&lt;G80)=(Resultados!F80&lt;Resultados!G80)),1,0)))</f>
        <v/>
      </c>
    </row>
    <row r="81" spans="1:10" ht="16.2" thickBot="1" x14ac:dyDescent="0.35">
      <c r="A81" s="86"/>
      <c r="B81" s="12">
        <v>46201</v>
      </c>
      <c r="C81" s="13">
        <v>0.16666666666666666</v>
      </c>
      <c r="D81" s="14" t="s">
        <v>14</v>
      </c>
      <c r="E81" s="15" t="s">
        <v>59</v>
      </c>
      <c r="F81" s="25">
        <v>0</v>
      </c>
      <c r="G81" s="25">
        <v>3</v>
      </c>
      <c r="H81" s="21" t="s">
        <v>56</v>
      </c>
      <c r="J81" s="1" t="str">
        <f>IF(OR(Resultados!F81="",Resultados!G81=""),"",IF(AND(F81=Resultados!F81,G81=Resultados!G81),2,IF(((F81&gt;G81)=(Resultados!F81&gt;Resultados!G81))*((F81&lt;G81)=(Resultados!F81&lt;Resultados!G81)),1,0)))</f>
        <v/>
      </c>
    </row>
    <row r="82" spans="1:10" ht="14.4" customHeight="1" thickBot="1" x14ac:dyDescent="0.35">
      <c r="A82" s="19"/>
      <c r="B82" s="19"/>
      <c r="C82" s="19"/>
      <c r="D82" s="19"/>
      <c r="E82" s="19"/>
      <c r="F82" s="19"/>
      <c r="G82" s="19"/>
      <c r="H82" s="24"/>
    </row>
    <row r="83" spans="1:10" ht="16.2" thickBot="1" x14ac:dyDescent="0.35">
      <c r="A83" s="16"/>
      <c r="B83" s="4" t="s">
        <v>1</v>
      </c>
      <c r="C83" s="4" t="s">
        <v>2</v>
      </c>
      <c r="D83" s="4" t="s">
        <v>3</v>
      </c>
      <c r="E83" s="5" t="s">
        <v>4</v>
      </c>
      <c r="F83" s="6" t="s">
        <v>5</v>
      </c>
      <c r="G83" s="6" t="s">
        <v>5</v>
      </c>
      <c r="H83" s="23" t="s">
        <v>6</v>
      </c>
    </row>
    <row r="84" spans="1:10" ht="16.2" thickBot="1" x14ac:dyDescent="0.35">
      <c r="A84" s="87" t="s">
        <v>60</v>
      </c>
      <c r="B84" s="7">
        <v>46190</v>
      </c>
      <c r="C84" s="8">
        <v>0.79166666666666663</v>
      </c>
      <c r="D84" s="9" t="s">
        <v>8</v>
      </c>
      <c r="E84" s="10" t="s">
        <v>61</v>
      </c>
      <c r="F84" s="26">
        <v>2</v>
      </c>
      <c r="G84" s="26">
        <v>0</v>
      </c>
      <c r="H84" s="21" t="s">
        <v>62</v>
      </c>
      <c r="J84" s="1" t="str">
        <f>IF(OR(Resultados!F84="",Resultados!G84=""),"",IF(AND(F84=Resultados!F84,G84=Resultados!G84),2,IF(((F84&gt;G84)=(Resultados!F84&gt;Resultados!G84))*((F84&lt;G84)=(Resultados!F84&lt;Resultados!G84)),1,0)))</f>
        <v/>
      </c>
    </row>
    <row r="85" spans="1:10" ht="16.2" thickBot="1" x14ac:dyDescent="0.35">
      <c r="A85" s="88"/>
      <c r="B85" s="7">
        <v>46191</v>
      </c>
      <c r="C85" s="8">
        <v>0.16666666666666666</v>
      </c>
      <c r="D85" s="9" t="s">
        <v>8</v>
      </c>
      <c r="E85" s="10" t="s">
        <v>63</v>
      </c>
      <c r="F85" s="26">
        <v>1</v>
      </c>
      <c r="G85" s="26">
        <v>3</v>
      </c>
      <c r="H85" s="21" t="s">
        <v>64</v>
      </c>
      <c r="J85" s="1" t="str">
        <f>IF(OR(Resultados!F85="",Resultados!G85=""),"",IF(AND(F85=Resultados!F85,G85=Resultados!G85),2,IF(((F85&gt;G85)=(Resultados!F85&gt;Resultados!G85))*((F85&lt;G85)=(Resultados!F85&lt;Resultados!G85)),1,0)))</f>
        <v/>
      </c>
    </row>
    <row r="86" spans="1:10" ht="16.2" thickBot="1" x14ac:dyDescent="0.35">
      <c r="A86" s="88"/>
      <c r="B86" s="7">
        <v>46196</v>
      </c>
      <c r="C86" s="8">
        <v>0.79166666666666663</v>
      </c>
      <c r="D86" s="9" t="s">
        <v>13</v>
      </c>
      <c r="E86" s="10" t="s">
        <v>61</v>
      </c>
      <c r="F86" s="25">
        <v>2</v>
      </c>
      <c r="G86" s="25">
        <v>0</v>
      </c>
      <c r="H86" s="21" t="s">
        <v>63</v>
      </c>
      <c r="J86" s="1" t="str">
        <f>IF(OR(Resultados!F86="",Resultados!G86=""),"",IF(AND(F86=Resultados!F86,G86=Resultados!G86),2,IF(((F86&gt;G86)=(Resultados!F86&gt;Resultados!G86))*((F86&lt;G86)=(Resultados!F86&lt;Resultados!G86)),1,0)))</f>
        <v/>
      </c>
    </row>
    <row r="87" spans="1:10" ht="16.2" thickBot="1" x14ac:dyDescent="0.35">
      <c r="A87" s="88"/>
      <c r="B87" s="7">
        <v>46197</v>
      </c>
      <c r="C87" s="8">
        <v>0.16666666666666666</v>
      </c>
      <c r="D87" s="9" t="s">
        <v>13</v>
      </c>
      <c r="E87" s="10" t="s">
        <v>64</v>
      </c>
      <c r="F87" s="25">
        <v>3</v>
      </c>
      <c r="G87" s="25">
        <v>2</v>
      </c>
      <c r="H87" s="21" t="s">
        <v>62</v>
      </c>
      <c r="J87" s="1" t="str">
        <f>IF(OR(Resultados!F87="",Resultados!G87=""),"",IF(AND(F87=Resultados!F87,G87=Resultados!G87),2,IF(((F87&gt;G87)=(Resultados!F87&gt;Resultados!G87))*((F87&lt;G87)=(Resultados!F87&lt;Resultados!G87)),1,0)))</f>
        <v/>
      </c>
    </row>
    <row r="88" spans="1:10" ht="16.2" thickBot="1" x14ac:dyDescent="0.35">
      <c r="A88" s="88"/>
      <c r="B88" s="7">
        <v>46201</v>
      </c>
      <c r="C88" s="8">
        <v>6.25E-2</v>
      </c>
      <c r="D88" s="9" t="s">
        <v>14</v>
      </c>
      <c r="E88" s="10" t="s">
        <v>64</v>
      </c>
      <c r="F88" s="25">
        <v>2</v>
      </c>
      <c r="G88" s="25">
        <v>2</v>
      </c>
      <c r="H88" s="21" t="s">
        <v>61</v>
      </c>
      <c r="J88" s="1" t="str">
        <f>IF(OR(Resultados!F88="",Resultados!G88=""),"",IF(AND(F88=Resultados!F88,G88=Resultados!G88),2,IF(((F88&gt;G88)=(Resultados!F88&gt;Resultados!G88))*((F88&lt;G88)=(Resultados!F88&lt;Resultados!G88)),1,0)))</f>
        <v/>
      </c>
    </row>
    <row r="89" spans="1:10" ht="16.2" thickBot="1" x14ac:dyDescent="0.35">
      <c r="A89" s="89"/>
      <c r="B89" s="12">
        <v>46201</v>
      </c>
      <c r="C89" s="13">
        <v>6.25E-2</v>
      </c>
      <c r="D89" s="14" t="s">
        <v>14</v>
      </c>
      <c r="E89" s="15" t="s">
        <v>62</v>
      </c>
      <c r="F89" s="25">
        <v>0</v>
      </c>
      <c r="G89" s="25">
        <v>0</v>
      </c>
      <c r="H89" s="21" t="s">
        <v>63</v>
      </c>
      <c r="J89" s="1" t="str">
        <f>IF(OR(Resultados!F89="",Resultados!G89=""),"",IF(AND(F89=Resultados!F89,G89=Resultados!G89),2,IF(((F89&gt;G89)=(Resultados!F89&gt;Resultados!G89))*((F89&lt;G89)=(Resultados!F89&lt;Resultados!G89)),1,0)))</f>
        <v/>
      </c>
    </row>
    <row r="90" spans="1:10" ht="16.2" thickBot="1" x14ac:dyDescent="0.35">
      <c r="A90" s="17"/>
      <c r="B90" s="18"/>
      <c r="C90" s="18"/>
      <c r="D90" s="18"/>
      <c r="E90" s="18"/>
      <c r="F90" s="18"/>
      <c r="G90" s="18"/>
      <c r="H90" s="22"/>
    </row>
    <row r="91" spans="1:10" ht="16.2" thickBot="1" x14ac:dyDescent="0.35">
      <c r="A91" s="16"/>
      <c r="B91" s="4" t="s">
        <v>1</v>
      </c>
      <c r="C91" s="4" t="s">
        <v>2</v>
      </c>
      <c r="D91" s="4" t="s">
        <v>3</v>
      </c>
      <c r="E91" s="5" t="s">
        <v>4</v>
      </c>
      <c r="F91" s="6" t="s">
        <v>5</v>
      </c>
      <c r="G91" s="6" t="s">
        <v>5</v>
      </c>
      <c r="H91" s="23" t="s">
        <v>6</v>
      </c>
    </row>
    <row r="92" spans="1:10" ht="16.2" thickBot="1" x14ac:dyDescent="0.35">
      <c r="A92" s="69" t="s">
        <v>65</v>
      </c>
      <c r="B92" s="7">
        <v>46190</v>
      </c>
      <c r="C92" s="8">
        <v>0.91666666666666663</v>
      </c>
      <c r="D92" s="9" t="s">
        <v>8</v>
      </c>
      <c r="E92" s="10" t="s">
        <v>66</v>
      </c>
      <c r="F92" s="26">
        <v>2</v>
      </c>
      <c r="G92" s="26">
        <v>1</v>
      </c>
      <c r="H92" s="21" t="s">
        <v>67</v>
      </c>
      <c r="J92" s="1" t="str">
        <f>IF(OR(Resultados!F92="",Resultados!G92=""),"",IF(AND(F92=Resultados!F92,G92=Resultados!G92),2,IF(((F92&gt;G92)=(Resultados!F92&gt;Resultados!G92))*((F92&lt;G92)=(Resultados!F92&lt;Resultados!G92)),1,0)))</f>
        <v/>
      </c>
    </row>
    <row r="93" spans="1:10" ht="16.2" thickBot="1" x14ac:dyDescent="0.35">
      <c r="A93" s="70"/>
      <c r="B93" s="7">
        <v>46191</v>
      </c>
      <c r="C93" s="8">
        <v>4.1666666666666664E-2</v>
      </c>
      <c r="D93" s="9" t="s">
        <v>8</v>
      </c>
      <c r="E93" s="10" t="s">
        <v>68</v>
      </c>
      <c r="F93" s="26">
        <v>0</v>
      </c>
      <c r="G93" s="26">
        <v>1</v>
      </c>
      <c r="H93" s="21" t="s">
        <v>69</v>
      </c>
      <c r="J93" s="1" t="str">
        <f>IF(OR(Resultados!F93="",Resultados!G93=""),"",IF(AND(F93=Resultados!F93,G93=Resultados!G93),2,IF(((F93&gt;G93)=(Resultados!F93&gt;Resultados!G93))*((F93&lt;G93)=(Resultados!F93&lt;Resultados!G93)),1,0)))</f>
        <v/>
      </c>
    </row>
    <row r="94" spans="1:10" ht="16.2" thickBot="1" x14ac:dyDescent="0.35">
      <c r="A94" s="70"/>
      <c r="B94" s="7">
        <v>46196</v>
      </c>
      <c r="C94" s="8">
        <v>0.91666666666666663</v>
      </c>
      <c r="D94" s="9" t="s">
        <v>13</v>
      </c>
      <c r="E94" s="10" t="s">
        <v>66</v>
      </c>
      <c r="F94" s="25">
        <v>3</v>
      </c>
      <c r="G94" s="25">
        <v>1</v>
      </c>
      <c r="H94" s="21" t="s">
        <v>68</v>
      </c>
      <c r="J94" s="1" t="str">
        <f>IF(OR(Resultados!F94="",Resultados!G94=""),"",IF(AND(F94=Resultados!F94,G94=Resultados!G94),2,IF(((F94&gt;G94)=(Resultados!F94&gt;Resultados!G94))*((F94&lt;G94)=(Resultados!F94&lt;Resultados!G94)),1,0)))</f>
        <v/>
      </c>
    </row>
    <row r="95" spans="1:10" ht="16.2" thickBot="1" x14ac:dyDescent="0.35">
      <c r="A95" s="70"/>
      <c r="B95" s="7">
        <v>46197</v>
      </c>
      <c r="C95" s="8">
        <v>4.1666666666666664E-2</v>
      </c>
      <c r="D95" s="9" t="s">
        <v>13</v>
      </c>
      <c r="E95" s="10" t="s">
        <v>69</v>
      </c>
      <c r="F95" s="25">
        <v>1</v>
      </c>
      <c r="G95" s="25">
        <v>2</v>
      </c>
      <c r="H95" s="21" t="s">
        <v>67</v>
      </c>
      <c r="J95" s="1" t="str">
        <f>IF(OR(Resultados!F95="",Resultados!G95=""),"",IF(AND(F95=Resultados!F95,G95=Resultados!G95),2,IF(((F95&gt;G95)=(Resultados!F95&gt;Resultados!G95))*((F95&lt;G95)=(Resultados!F95&lt;Resultados!G95)),1,0)))</f>
        <v/>
      </c>
    </row>
    <row r="96" spans="1:10" ht="16.2" thickBot="1" x14ac:dyDescent="0.35">
      <c r="A96" s="70"/>
      <c r="B96" s="7">
        <v>46200</v>
      </c>
      <c r="C96" s="8">
        <v>0.95833333333333337</v>
      </c>
      <c r="D96" s="9" t="s">
        <v>14</v>
      </c>
      <c r="E96" s="10" t="s">
        <v>69</v>
      </c>
      <c r="F96" s="25">
        <v>1</v>
      </c>
      <c r="G96" s="25">
        <v>1</v>
      </c>
      <c r="H96" s="21" t="s">
        <v>66</v>
      </c>
      <c r="J96" s="1" t="str">
        <f>IF(OR(Resultados!F96="",Resultados!G96=""),"",IF(AND(F96=Resultados!F96,G96=Resultados!G96),2,IF(((F96&gt;G96)=(Resultados!F96&gt;Resultados!G96))*((F96&lt;G96)=(Resultados!F96&lt;Resultados!G96)),1,0)))</f>
        <v/>
      </c>
    </row>
    <row r="97" spans="1:10" ht="16.2" thickBot="1" x14ac:dyDescent="0.35">
      <c r="A97" s="71"/>
      <c r="B97" s="12">
        <v>46200</v>
      </c>
      <c r="C97" s="13">
        <v>0.95833333333333337</v>
      </c>
      <c r="D97" s="14" t="s">
        <v>14</v>
      </c>
      <c r="E97" s="15" t="s">
        <v>67</v>
      </c>
      <c r="F97" s="25">
        <v>2</v>
      </c>
      <c r="G97" s="25">
        <v>0</v>
      </c>
      <c r="H97" s="21" t="s">
        <v>68</v>
      </c>
      <c r="J97" s="1" t="str">
        <f>IF(OR(Resultados!F97="",Resultados!G97=""),"",IF(AND(F97=Resultados!F97,G97=Resultados!G97),2,IF(((F97&gt;G97)=(Resultados!F97&gt;Resultados!G97))*((F97&lt;G97)=(Resultados!F97&lt;Resultados!G97)),1,0)))</f>
        <v/>
      </c>
    </row>
  </sheetData>
  <mergeCells count="14">
    <mergeCell ref="A84:A89"/>
    <mergeCell ref="A92:A97"/>
    <mergeCell ref="A36:A41"/>
    <mergeCell ref="A44:A49"/>
    <mergeCell ref="A52:A57"/>
    <mergeCell ref="A60:A65"/>
    <mergeCell ref="A68:A73"/>
    <mergeCell ref="A76:A81"/>
    <mergeCell ref="A28:A33"/>
    <mergeCell ref="A1:H1"/>
    <mergeCell ref="A2:H2"/>
    <mergeCell ref="A4:A9"/>
    <mergeCell ref="A12:A17"/>
    <mergeCell ref="A20:A25"/>
  </mergeCells>
  <pageMargins left="0.7" right="0.7" top="0.75" bottom="0.75" header="0.3" footer="0.3"/>
  <ignoredErrors>
    <ignoredError sqref="J6:J102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AB937-D217-4C54-B099-21723B2FA076}">
  <dimension ref="A1:L97"/>
  <sheetViews>
    <sheetView topLeftCell="A35" zoomScale="115" zoomScaleNormal="115" workbookViewId="0">
      <selection activeCell="L87" sqref="L87"/>
    </sheetView>
  </sheetViews>
  <sheetFormatPr baseColWidth="10" defaultRowHeight="15.6" x14ac:dyDescent="0.3"/>
  <cols>
    <col min="1" max="1" width="7.6640625" style="1" bestFit="1" customWidth="1"/>
    <col min="2" max="2" width="11.21875" style="1" bestFit="1" customWidth="1"/>
    <col min="3" max="3" width="6" style="1" bestFit="1" customWidth="1"/>
    <col min="4" max="4" width="4.88671875" style="1" bestFit="1" customWidth="1"/>
    <col min="5" max="5" width="17.109375" style="2" bestFit="1" customWidth="1"/>
    <col min="6" max="7" width="4.5546875" style="2" bestFit="1" customWidth="1"/>
    <col min="8" max="8" width="17.109375" style="1" bestFit="1" customWidth="1"/>
    <col min="9" max="9" width="6.109375" style="1" customWidth="1"/>
    <col min="10" max="10" width="7.77734375" style="1" bestFit="1" customWidth="1"/>
    <col min="11" max="11" width="6.109375" style="1" customWidth="1"/>
    <col min="12" max="16384" width="11.5546875" style="1"/>
  </cols>
  <sheetData>
    <row r="1" spans="1:12" ht="25.8" thickBot="1" x14ac:dyDescent="0.35">
      <c r="A1" s="63" t="s">
        <v>0</v>
      </c>
      <c r="B1" s="64"/>
      <c r="C1" s="64"/>
      <c r="D1" s="64"/>
      <c r="E1" s="64"/>
      <c r="F1" s="64"/>
      <c r="G1" s="64"/>
      <c r="H1" s="65"/>
    </row>
    <row r="2" spans="1:12" ht="16.2" thickBot="1" x14ac:dyDescent="0.35">
      <c r="A2" s="66"/>
      <c r="B2" s="67"/>
      <c r="C2" s="67"/>
      <c r="D2" s="67"/>
      <c r="E2" s="67"/>
      <c r="F2" s="67"/>
      <c r="G2" s="67"/>
      <c r="H2" s="68"/>
    </row>
    <row r="3" spans="1:12" s="2" customFormat="1" ht="16.2" thickBot="1" x14ac:dyDescent="0.35">
      <c r="A3" s="3"/>
      <c r="B3" s="4" t="s">
        <v>1</v>
      </c>
      <c r="C3" s="4" t="s">
        <v>2</v>
      </c>
      <c r="D3" s="4" t="s">
        <v>3</v>
      </c>
      <c r="E3" s="5" t="s">
        <v>4</v>
      </c>
      <c r="F3" s="6" t="s">
        <v>5</v>
      </c>
      <c r="G3" s="6" t="s">
        <v>5</v>
      </c>
      <c r="H3" s="4" t="s">
        <v>6</v>
      </c>
      <c r="J3" s="30" t="s">
        <v>71</v>
      </c>
      <c r="L3" s="2" t="s">
        <v>73</v>
      </c>
    </row>
    <row r="4" spans="1:12" ht="16.2" thickBot="1" x14ac:dyDescent="0.35">
      <c r="A4" s="90" t="s">
        <v>7</v>
      </c>
      <c r="B4" s="7">
        <v>46184</v>
      </c>
      <c r="C4" s="8">
        <v>0.875</v>
      </c>
      <c r="D4" s="9" t="s">
        <v>8</v>
      </c>
      <c r="E4" s="10" t="s">
        <v>9</v>
      </c>
      <c r="F4" s="11">
        <v>2</v>
      </c>
      <c r="G4" s="11">
        <v>0</v>
      </c>
      <c r="H4" s="20" t="s">
        <v>10</v>
      </c>
      <c r="L4" s="1">
        <f>SUM(J:J)</f>
        <v>6</v>
      </c>
    </row>
    <row r="5" spans="1:12" ht="16.2" thickBot="1" x14ac:dyDescent="0.35">
      <c r="A5" s="91"/>
      <c r="B5" s="7">
        <v>46185</v>
      </c>
      <c r="C5" s="8">
        <v>0.16666666666666666</v>
      </c>
      <c r="D5" s="9" t="s">
        <v>8</v>
      </c>
      <c r="E5" s="10" t="s">
        <v>11</v>
      </c>
      <c r="F5" s="11">
        <v>2</v>
      </c>
      <c r="G5" s="11">
        <v>1</v>
      </c>
      <c r="H5" s="20" t="s">
        <v>12</v>
      </c>
    </row>
    <row r="6" spans="1:12" ht="16.2" thickBot="1" x14ac:dyDescent="0.35">
      <c r="A6" s="91"/>
      <c r="B6" s="7">
        <v>46191</v>
      </c>
      <c r="C6" s="8">
        <v>0.75</v>
      </c>
      <c r="D6" s="9" t="s">
        <v>13</v>
      </c>
      <c r="E6" s="10" t="s">
        <v>12</v>
      </c>
      <c r="F6" s="25">
        <v>2</v>
      </c>
      <c r="G6" s="25">
        <v>0</v>
      </c>
      <c r="H6" s="20" t="s">
        <v>10</v>
      </c>
      <c r="J6" s="1" t="str">
        <f>IF(OR(Resultados!F6="",Resultados!G6=""),"",IF(AND(F6=Resultados!F6,G6=Resultados!G6),2,IF(((F6&gt;G6)=(Resultados!F6&gt;Resultados!G6))*((F6&lt;G6)=(Resultados!F6&lt;Resultados!G6)),1,0)))</f>
        <v/>
      </c>
    </row>
    <row r="7" spans="1:12" ht="16.2" thickBot="1" x14ac:dyDescent="0.35">
      <c r="A7" s="91"/>
      <c r="B7" s="7">
        <v>46192</v>
      </c>
      <c r="C7" s="8">
        <v>0.125</v>
      </c>
      <c r="D7" s="9" t="s">
        <v>13</v>
      </c>
      <c r="E7" s="10" t="s">
        <v>9</v>
      </c>
      <c r="F7" s="25">
        <v>2</v>
      </c>
      <c r="G7" s="25">
        <v>2</v>
      </c>
      <c r="H7" s="20" t="s">
        <v>11</v>
      </c>
      <c r="J7" s="1" t="str">
        <f>IF(OR(Resultados!F7="",Resultados!G7=""),"",IF(AND(F7=Resultados!F7,G7=Resultados!G7),2,IF(((F7&gt;G7)=(Resultados!F7&gt;Resultados!G7))*((F7&lt;G7)=(Resultados!F7&lt;Resultados!G7)),1,0)))</f>
        <v/>
      </c>
    </row>
    <row r="8" spans="1:12" ht="16.2" thickBot="1" x14ac:dyDescent="0.35">
      <c r="A8" s="91"/>
      <c r="B8" s="7">
        <v>46198</v>
      </c>
      <c r="C8" s="8">
        <v>0.125</v>
      </c>
      <c r="D8" s="9" t="s">
        <v>14</v>
      </c>
      <c r="E8" s="10" t="s">
        <v>12</v>
      </c>
      <c r="F8" s="25">
        <v>1</v>
      </c>
      <c r="G8" s="25">
        <v>2</v>
      </c>
      <c r="H8" s="20" t="s">
        <v>9</v>
      </c>
      <c r="J8" s="1" t="str">
        <f>IF(OR(Resultados!F8="",Resultados!G8=""),"",IF(AND(F8=Resultados!F8,G8=Resultados!G8),2,IF(((F8&gt;G8)=(Resultados!F8&gt;Resultados!G8))*((F8&lt;G8)=(Resultados!F8&lt;Resultados!G8)),1,0)))</f>
        <v/>
      </c>
    </row>
    <row r="9" spans="1:12" ht="16.2" thickBot="1" x14ac:dyDescent="0.35">
      <c r="A9" s="92"/>
      <c r="B9" s="12">
        <v>46198</v>
      </c>
      <c r="C9" s="13">
        <v>0.125</v>
      </c>
      <c r="D9" s="14" t="s">
        <v>14</v>
      </c>
      <c r="E9" s="15" t="s">
        <v>10</v>
      </c>
      <c r="F9" s="25">
        <v>0</v>
      </c>
      <c r="G9" s="25">
        <v>3</v>
      </c>
      <c r="H9" s="21" t="s">
        <v>11</v>
      </c>
      <c r="J9" s="1" t="str">
        <f>IF(OR(Resultados!F9="",Resultados!G9=""),"",IF(AND(F9=Resultados!F9,G9=Resultados!G9),2,IF(((F9&gt;G9)=(Resultados!F9&gt;Resultados!G9))*((F9&lt;G9)=(Resultados!F9&lt;Resultados!G9)),1,0)))</f>
        <v/>
      </c>
    </row>
    <row r="10" spans="1:12" ht="16.2" thickBot="1" x14ac:dyDescent="0.35">
      <c r="A10" s="17"/>
      <c r="B10" s="18"/>
      <c r="C10" s="18"/>
      <c r="D10" s="18"/>
      <c r="E10" s="18"/>
      <c r="F10" s="18"/>
      <c r="G10" s="18"/>
      <c r="H10" s="22"/>
    </row>
    <row r="11" spans="1:12" ht="16.2" thickBot="1" x14ac:dyDescent="0.35">
      <c r="A11" s="16"/>
      <c r="B11" s="4" t="s">
        <v>1</v>
      </c>
      <c r="C11" s="4" t="s">
        <v>2</v>
      </c>
      <c r="D11" s="4" t="s">
        <v>3</v>
      </c>
      <c r="E11" s="5" t="s">
        <v>4</v>
      </c>
      <c r="F11" s="6" t="s">
        <v>5</v>
      </c>
      <c r="G11" s="6" t="s">
        <v>5</v>
      </c>
      <c r="H11" s="23" t="s">
        <v>6</v>
      </c>
    </row>
    <row r="12" spans="1:12" ht="16.2" thickBot="1" x14ac:dyDescent="0.35">
      <c r="A12" s="93" t="s">
        <v>15</v>
      </c>
      <c r="B12" s="7">
        <v>46185</v>
      </c>
      <c r="C12" s="8">
        <v>0.875</v>
      </c>
      <c r="D12" s="9" t="s">
        <v>8</v>
      </c>
      <c r="E12" s="10" t="s">
        <v>16</v>
      </c>
      <c r="F12" s="11">
        <v>1</v>
      </c>
      <c r="G12" s="11">
        <v>1</v>
      </c>
      <c r="H12" s="21" t="s">
        <v>17</v>
      </c>
    </row>
    <row r="13" spans="1:12" ht="16.2" thickBot="1" x14ac:dyDescent="0.35">
      <c r="A13" s="94"/>
      <c r="B13" s="7">
        <v>46186</v>
      </c>
      <c r="C13" s="8">
        <v>0.875</v>
      </c>
      <c r="D13" s="9" t="s">
        <v>8</v>
      </c>
      <c r="E13" s="10" t="s">
        <v>18</v>
      </c>
      <c r="F13" s="11">
        <v>1</v>
      </c>
      <c r="G13" s="11">
        <v>1</v>
      </c>
      <c r="H13" s="21" t="s">
        <v>19</v>
      </c>
    </row>
    <row r="14" spans="1:12" ht="16.2" thickBot="1" x14ac:dyDescent="0.35">
      <c r="A14" s="94"/>
      <c r="B14" s="7">
        <v>46191</v>
      </c>
      <c r="C14" s="8">
        <v>0.875</v>
      </c>
      <c r="D14" s="9" t="s">
        <v>13</v>
      </c>
      <c r="E14" s="10" t="s">
        <v>19</v>
      </c>
      <c r="F14" s="25">
        <v>0</v>
      </c>
      <c r="G14" s="25">
        <v>0</v>
      </c>
      <c r="H14" s="21" t="s">
        <v>17</v>
      </c>
      <c r="J14" s="1" t="str">
        <f>IF(OR(Resultados!F14="",Resultados!G14=""),"",IF(AND(F14=Resultados!F14,G14=Resultados!G14),2,IF(((F14&gt;G14)=(Resultados!F14&gt;Resultados!G14))*((F14&lt;G14)=(Resultados!F14&lt;Resultados!G14)),1,0)))</f>
        <v/>
      </c>
    </row>
    <row r="15" spans="1:12" ht="16.2" thickBot="1" x14ac:dyDescent="0.35">
      <c r="A15" s="94"/>
      <c r="B15" s="7">
        <v>46192</v>
      </c>
      <c r="C15" s="8">
        <v>0</v>
      </c>
      <c r="D15" s="9" t="s">
        <v>13</v>
      </c>
      <c r="E15" s="10" t="s">
        <v>16</v>
      </c>
      <c r="F15" s="25">
        <v>1</v>
      </c>
      <c r="G15" s="25">
        <v>1</v>
      </c>
      <c r="H15" s="21" t="s">
        <v>18</v>
      </c>
      <c r="J15" s="1" t="str">
        <f>IF(OR(Resultados!F15="",Resultados!G15=""),"",IF(AND(F15=Resultados!F15,G15=Resultados!G15),2,IF(((F15&gt;G15)=(Resultados!F15&gt;Resultados!G15))*((F15&lt;G15)=(Resultados!F15&lt;Resultados!G15)),1,0)))</f>
        <v/>
      </c>
    </row>
    <row r="16" spans="1:12" ht="16.2" thickBot="1" x14ac:dyDescent="0.35">
      <c r="A16" s="94"/>
      <c r="B16" s="7">
        <v>46197</v>
      </c>
      <c r="C16" s="8">
        <v>0.875</v>
      </c>
      <c r="D16" s="9" t="s">
        <v>14</v>
      </c>
      <c r="E16" s="10" t="s">
        <v>19</v>
      </c>
      <c r="F16" s="25">
        <v>2</v>
      </c>
      <c r="G16" s="25">
        <v>2</v>
      </c>
      <c r="H16" s="21" t="s">
        <v>16</v>
      </c>
      <c r="J16" s="1" t="str">
        <f>IF(OR(Resultados!F16="",Resultados!G16=""),"",IF(AND(F16=Resultados!F16,G16=Resultados!G16),2,IF(((F16&gt;G16)=(Resultados!F16&gt;Resultados!G16))*((F16&lt;G16)=(Resultados!F16&lt;Resultados!G16)),1,0)))</f>
        <v/>
      </c>
    </row>
    <row r="17" spans="1:10" ht="16.2" thickBot="1" x14ac:dyDescent="0.35">
      <c r="A17" s="95"/>
      <c r="B17" s="12">
        <v>46197</v>
      </c>
      <c r="C17" s="13">
        <v>0.875</v>
      </c>
      <c r="D17" s="14" t="s">
        <v>14</v>
      </c>
      <c r="E17" s="15" t="s">
        <v>17</v>
      </c>
      <c r="F17" s="25">
        <v>1</v>
      </c>
      <c r="G17" s="25">
        <v>1</v>
      </c>
      <c r="H17" s="21" t="s">
        <v>18</v>
      </c>
      <c r="J17" s="1" t="str">
        <f>IF(OR(Resultados!F17="",Resultados!G17=""),"",IF(AND(F17=Resultados!F17,G17=Resultados!G17),2,IF(((F17&gt;G17)=(Resultados!F17&gt;Resultados!G17))*((F17&lt;G17)=(Resultados!F17&lt;Resultados!G17)),1,0)))</f>
        <v/>
      </c>
    </row>
    <row r="18" spans="1:10" ht="16.2" thickBot="1" x14ac:dyDescent="0.35">
      <c r="A18" s="17"/>
      <c r="B18" s="18"/>
      <c r="C18" s="18"/>
      <c r="D18" s="18"/>
      <c r="E18" s="18"/>
      <c r="F18" s="18"/>
      <c r="G18" s="18"/>
      <c r="H18" s="22"/>
    </row>
    <row r="19" spans="1:10" ht="16.2" thickBot="1" x14ac:dyDescent="0.35">
      <c r="A19" s="16"/>
      <c r="B19" s="4" t="s">
        <v>1</v>
      </c>
      <c r="C19" s="4" t="s">
        <v>2</v>
      </c>
      <c r="D19" s="4" t="s">
        <v>3</v>
      </c>
      <c r="E19" s="5" t="s">
        <v>4</v>
      </c>
      <c r="F19" s="6" t="s">
        <v>5</v>
      </c>
      <c r="G19" s="6" t="s">
        <v>5</v>
      </c>
      <c r="H19" s="23" t="s">
        <v>6</v>
      </c>
    </row>
    <row r="20" spans="1:10" ht="16.2" thickBot="1" x14ac:dyDescent="0.35">
      <c r="A20" s="96" t="s">
        <v>20</v>
      </c>
      <c r="B20" s="7">
        <v>46187</v>
      </c>
      <c r="C20" s="8">
        <v>0</v>
      </c>
      <c r="D20" s="9" t="s">
        <v>8</v>
      </c>
      <c r="E20" s="10" t="s">
        <v>21</v>
      </c>
      <c r="F20" s="11">
        <v>1</v>
      </c>
      <c r="G20" s="11">
        <v>1</v>
      </c>
      <c r="H20" s="21" t="s">
        <v>22</v>
      </c>
    </row>
    <row r="21" spans="1:10" ht="16.2" thickBot="1" x14ac:dyDescent="0.35">
      <c r="A21" s="97"/>
      <c r="B21" s="7">
        <v>46187</v>
      </c>
      <c r="C21" s="8">
        <v>0.125</v>
      </c>
      <c r="D21" s="9" t="s">
        <v>8</v>
      </c>
      <c r="E21" s="10" t="s">
        <v>23</v>
      </c>
      <c r="F21" s="26">
        <v>0</v>
      </c>
      <c r="G21" s="26">
        <v>1</v>
      </c>
      <c r="H21" s="21" t="s">
        <v>24</v>
      </c>
      <c r="J21" s="1">
        <f>IF(OR(Resultados!F21="",Resultados!G21=""),"",IF(AND(F21=Resultados!F21,G21=Resultados!G21),2,IF(((F21&gt;G21)=(Resultados!F21&gt;Resultados!G21))*((F21&lt;G21)=(Resultados!F21&lt;Resultados!G21)),1,0)))</f>
        <v>2</v>
      </c>
    </row>
    <row r="22" spans="1:10" ht="16.2" thickBot="1" x14ac:dyDescent="0.35">
      <c r="A22" s="97"/>
      <c r="B22" s="7">
        <v>46193</v>
      </c>
      <c r="C22" s="8">
        <v>0</v>
      </c>
      <c r="D22" s="9" t="s">
        <v>13</v>
      </c>
      <c r="E22" s="10" t="s">
        <v>24</v>
      </c>
      <c r="F22" s="25">
        <v>0</v>
      </c>
      <c r="G22" s="25">
        <v>2</v>
      </c>
      <c r="H22" s="21" t="s">
        <v>22</v>
      </c>
      <c r="J22" s="1" t="str">
        <f>IF(OR(Resultados!F22="",Resultados!G22=""),"",IF(AND(F22=Resultados!F22,G22=Resultados!G22),2,IF(((F22&gt;G22)=(Resultados!F22&gt;Resultados!G22))*((F22&lt;G22)=(Resultados!F22&lt;Resultados!G22)),1,0)))</f>
        <v/>
      </c>
    </row>
    <row r="23" spans="1:10" ht="16.2" thickBot="1" x14ac:dyDescent="0.35">
      <c r="A23" s="97"/>
      <c r="B23" s="7">
        <v>46193</v>
      </c>
      <c r="C23" s="8">
        <v>0.10416666666666667</v>
      </c>
      <c r="D23" s="9" t="s">
        <v>13</v>
      </c>
      <c r="E23" s="10" t="s">
        <v>21</v>
      </c>
      <c r="F23" s="25">
        <v>1</v>
      </c>
      <c r="G23" s="25">
        <v>0</v>
      </c>
      <c r="H23" s="21" t="s">
        <v>23</v>
      </c>
      <c r="J23" s="1" t="str">
        <f>IF(OR(Resultados!F23="",Resultados!G23=""),"",IF(AND(F23=Resultados!F23,G23=Resultados!G23),2,IF(((F23&gt;G23)=(Resultados!F23&gt;Resultados!G23))*((F23&lt;G23)=(Resultados!F23&lt;Resultados!G23)),1,0)))</f>
        <v/>
      </c>
    </row>
    <row r="24" spans="1:10" ht="16.2" thickBot="1" x14ac:dyDescent="0.35">
      <c r="A24" s="97"/>
      <c r="B24" s="7">
        <v>46198</v>
      </c>
      <c r="C24" s="8">
        <v>0</v>
      </c>
      <c r="D24" s="9" t="s">
        <v>14</v>
      </c>
      <c r="E24" s="10" t="s">
        <v>24</v>
      </c>
      <c r="F24" s="25">
        <v>1</v>
      </c>
      <c r="G24" s="25">
        <v>2</v>
      </c>
      <c r="H24" s="21" t="s">
        <v>21</v>
      </c>
      <c r="J24" s="1" t="str">
        <f>IF(OR(Resultados!F24="",Resultados!G24=""),"",IF(AND(F24=Resultados!F24,G24=Resultados!G24),2,IF(((F24&gt;G24)=(Resultados!F24&gt;Resultados!G24))*((F24&lt;G24)=(Resultados!F24&lt;Resultados!G24)),1,0)))</f>
        <v/>
      </c>
    </row>
    <row r="25" spans="1:10" ht="16.2" thickBot="1" x14ac:dyDescent="0.35">
      <c r="A25" s="98"/>
      <c r="B25" s="12">
        <v>46198</v>
      </c>
      <c r="C25" s="13">
        <v>0</v>
      </c>
      <c r="D25" s="14" t="s">
        <v>14</v>
      </c>
      <c r="E25" s="15" t="s">
        <v>22</v>
      </c>
      <c r="F25" s="25">
        <v>3</v>
      </c>
      <c r="G25" s="25">
        <v>0</v>
      </c>
      <c r="H25" s="21" t="s">
        <v>23</v>
      </c>
      <c r="J25" s="1" t="str">
        <f>IF(OR(Resultados!F25="",Resultados!G25=""),"",IF(AND(F25=Resultados!F25,G25=Resultados!G25),2,IF(((F25&gt;G25)=(Resultados!F25&gt;Resultados!G25))*((F25&lt;G25)=(Resultados!F25&lt;Resultados!G25)),1,0)))</f>
        <v/>
      </c>
    </row>
    <row r="26" spans="1:10" ht="16.2" thickBot="1" x14ac:dyDescent="0.35">
      <c r="A26" s="19"/>
      <c r="B26" s="19"/>
      <c r="C26" s="19"/>
      <c r="D26" s="19"/>
      <c r="E26" s="19"/>
      <c r="F26" s="19"/>
      <c r="G26" s="19"/>
      <c r="H26" s="24"/>
    </row>
    <row r="27" spans="1:10" ht="16.2" thickBot="1" x14ac:dyDescent="0.35">
      <c r="A27" s="16"/>
      <c r="B27" s="4" t="s">
        <v>1</v>
      </c>
      <c r="C27" s="4" t="s">
        <v>2</v>
      </c>
      <c r="D27" s="4" t="s">
        <v>3</v>
      </c>
      <c r="E27" s="5" t="s">
        <v>4</v>
      </c>
      <c r="F27" s="6" t="s">
        <v>5</v>
      </c>
      <c r="G27" s="6" t="s">
        <v>5</v>
      </c>
      <c r="H27" s="23" t="s">
        <v>6</v>
      </c>
    </row>
    <row r="28" spans="1:10" ht="16.2" thickBot="1" x14ac:dyDescent="0.35">
      <c r="A28" s="99" t="s">
        <v>25</v>
      </c>
      <c r="B28" s="7">
        <v>46186</v>
      </c>
      <c r="C28" s="8">
        <v>0.125</v>
      </c>
      <c r="D28" s="9" t="s">
        <v>8</v>
      </c>
      <c r="E28" s="10" t="s">
        <v>26</v>
      </c>
      <c r="F28" s="11">
        <v>4</v>
      </c>
      <c r="G28" s="11">
        <v>1</v>
      </c>
      <c r="H28" s="21" t="s">
        <v>27</v>
      </c>
    </row>
    <row r="29" spans="1:10" ht="16.2" thickBot="1" x14ac:dyDescent="0.35">
      <c r="A29" s="100"/>
      <c r="B29" s="7">
        <v>46187</v>
      </c>
      <c r="C29" s="8">
        <v>0.25</v>
      </c>
      <c r="D29" s="9" t="s">
        <v>8</v>
      </c>
      <c r="E29" s="10" t="s">
        <v>28</v>
      </c>
      <c r="F29" s="26">
        <v>1</v>
      </c>
      <c r="G29" s="26">
        <v>2</v>
      </c>
      <c r="H29" s="21" t="s">
        <v>29</v>
      </c>
      <c r="J29" s="1">
        <f>IF(OR(Resultados!F29="",Resultados!G29=""),"",IF(AND(F29=Resultados!F29,G29=Resultados!G29),2,IF(((F29&gt;G29)=(Resultados!F29&gt;Resultados!G29))*((F29&lt;G29)=(Resultados!F29&lt;Resultados!G29)),1,0)))</f>
        <v>0</v>
      </c>
    </row>
    <row r="30" spans="1:10" ht="16.2" thickBot="1" x14ac:dyDescent="0.35">
      <c r="A30" s="100"/>
      <c r="B30" s="7">
        <v>46192</v>
      </c>
      <c r="C30" s="8">
        <v>0.875</v>
      </c>
      <c r="D30" s="9" t="s">
        <v>13</v>
      </c>
      <c r="E30" s="10" t="s">
        <v>26</v>
      </c>
      <c r="F30" s="25">
        <v>2</v>
      </c>
      <c r="G30" s="25">
        <v>0</v>
      </c>
      <c r="H30" s="21" t="s">
        <v>28</v>
      </c>
      <c r="J30" s="1" t="str">
        <f>IF(OR(Resultados!F30="",Resultados!G30=""),"",IF(AND(F30=Resultados!F30,G30=Resultados!G30),2,IF(((F30&gt;G30)=(Resultados!F30&gt;Resultados!G30))*((F30&lt;G30)=(Resultados!F30&lt;Resultados!G30)),1,0)))</f>
        <v/>
      </c>
    </row>
    <row r="31" spans="1:10" ht="16.2" thickBot="1" x14ac:dyDescent="0.35">
      <c r="A31" s="100"/>
      <c r="B31" s="7">
        <v>46193</v>
      </c>
      <c r="C31" s="8">
        <v>0.20833333333333334</v>
      </c>
      <c r="D31" s="9" t="s">
        <v>13</v>
      </c>
      <c r="E31" s="10" t="s">
        <v>29</v>
      </c>
      <c r="F31" s="25">
        <v>2</v>
      </c>
      <c r="G31" s="25">
        <v>0</v>
      </c>
      <c r="H31" s="21" t="s">
        <v>27</v>
      </c>
      <c r="J31" s="1" t="str">
        <f>IF(OR(Resultados!F31="",Resultados!G31=""),"",IF(AND(F31=Resultados!F31,G31=Resultados!G31),2,IF(((F31&gt;G31)=(Resultados!F31&gt;Resultados!G31))*((F31&lt;G31)=(Resultados!F31&lt;Resultados!G31)),1,0)))</f>
        <v/>
      </c>
    </row>
    <row r="32" spans="1:10" ht="16.2" thickBot="1" x14ac:dyDescent="0.35">
      <c r="A32" s="100"/>
      <c r="B32" s="7">
        <v>46199</v>
      </c>
      <c r="C32" s="8">
        <v>0.16666666666666666</v>
      </c>
      <c r="D32" s="9" t="s">
        <v>14</v>
      </c>
      <c r="E32" s="10" t="s">
        <v>29</v>
      </c>
      <c r="F32" s="25">
        <v>3</v>
      </c>
      <c r="G32" s="25">
        <v>3</v>
      </c>
      <c r="H32" s="21" t="s">
        <v>26</v>
      </c>
      <c r="J32" s="1" t="str">
        <f>IF(OR(Resultados!F32="",Resultados!G32=""),"",IF(AND(F32=Resultados!F32,G32=Resultados!G32),2,IF(((F32&gt;G32)=(Resultados!F32&gt;Resultados!G32))*((F32&lt;G32)=(Resultados!F32&lt;Resultados!G32)),1,0)))</f>
        <v/>
      </c>
    </row>
    <row r="33" spans="1:10" ht="16.2" thickBot="1" x14ac:dyDescent="0.35">
      <c r="A33" s="101"/>
      <c r="B33" s="12">
        <v>46199</v>
      </c>
      <c r="C33" s="13">
        <v>0.16666666666666666</v>
      </c>
      <c r="D33" s="14" t="s">
        <v>14</v>
      </c>
      <c r="E33" s="15" t="s">
        <v>27</v>
      </c>
      <c r="F33" s="25">
        <v>0</v>
      </c>
      <c r="G33" s="25">
        <v>2</v>
      </c>
      <c r="H33" s="21" t="s">
        <v>28</v>
      </c>
      <c r="J33" s="1" t="str">
        <f>IF(OR(Resultados!F33="",Resultados!G33=""),"",IF(AND(F33=Resultados!F33,G33=Resultados!G33),2,IF(((F33&gt;G33)=(Resultados!F33&gt;Resultados!G33))*((F33&lt;G33)=(Resultados!F33&lt;Resultados!G33)),1,0)))</f>
        <v/>
      </c>
    </row>
    <row r="34" spans="1:10" ht="16.2" thickBot="1" x14ac:dyDescent="0.35">
      <c r="A34" s="17"/>
      <c r="B34" s="18"/>
      <c r="C34" s="18"/>
      <c r="D34" s="18"/>
      <c r="E34" s="18"/>
      <c r="F34" s="18"/>
      <c r="G34" s="18"/>
      <c r="H34" s="22"/>
    </row>
    <row r="35" spans="1:10" ht="16.2" thickBot="1" x14ac:dyDescent="0.35">
      <c r="A35" s="16"/>
      <c r="B35" s="4" t="s">
        <v>1</v>
      </c>
      <c r="C35" s="4" t="s">
        <v>2</v>
      </c>
      <c r="D35" s="4" t="s">
        <v>3</v>
      </c>
      <c r="E35" s="5" t="s">
        <v>4</v>
      </c>
      <c r="F35" s="6" t="s">
        <v>5</v>
      </c>
      <c r="G35" s="6" t="s">
        <v>5</v>
      </c>
      <c r="H35" s="23" t="s">
        <v>6</v>
      </c>
    </row>
    <row r="36" spans="1:10" ht="16.2" thickBot="1" x14ac:dyDescent="0.35">
      <c r="A36" s="102" t="s">
        <v>30</v>
      </c>
      <c r="B36" s="7">
        <v>46187</v>
      </c>
      <c r="C36" s="8">
        <v>0.79166666666666663</v>
      </c>
      <c r="D36" s="9" t="s">
        <v>8</v>
      </c>
      <c r="E36" s="10" t="s">
        <v>31</v>
      </c>
      <c r="F36" s="26">
        <v>2</v>
      </c>
      <c r="G36" s="26">
        <v>0</v>
      </c>
      <c r="H36" s="21" t="s">
        <v>32</v>
      </c>
      <c r="J36" s="1">
        <f>IF(OR(Resultados!F36="",Resultados!G36=""),"",IF(AND(F36=Resultados!F36,G36=Resultados!G36),2,IF(((F36&gt;G36)=(Resultados!F36&gt;Resultados!G36))*((F36&lt;G36)=(Resultados!F36&lt;Resultados!G36)),1,0)))</f>
        <v>1</v>
      </c>
    </row>
    <row r="37" spans="1:10" ht="16.2" thickBot="1" x14ac:dyDescent="0.35">
      <c r="A37" s="103"/>
      <c r="B37" s="7">
        <v>46188</v>
      </c>
      <c r="C37" s="8">
        <v>4.1666666666666664E-2</v>
      </c>
      <c r="D37" s="9" t="s">
        <v>8</v>
      </c>
      <c r="E37" s="10" t="s">
        <v>33</v>
      </c>
      <c r="F37" s="26">
        <v>2</v>
      </c>
      <c r="G37" s="26">
        <v>2</v>
      </c>
      <c r="H37" s="21" t="s">
        <v>34</v>
      </c>
      <c r="J37" s="1">
        <f>IF(OR(Resultados!F37="",Resultados!G37=""),"",IF(AND(F37=Resultados!F37,G37=Resultados!G37),2,IF(((F37&gt;G37)=(Resultados!F37&gt;Resultados!G37))*((F37&lt;G37)=(Resultados!F37&lt;Resultados!G37)),1,0)))</f>
        <v>0</v>
      </c>
    </row>
    <row r="38" spans="1:10" ht="16.2" thickBot="1" x14ac:dyDescent="0.35">
      <c r="A38" s="103"/>
      <c r="B38" s="7">
        <v>46193</v>
      </c>
      <c r="C38" s="8">
        <v>0.91666666666666663</v>
      </c>
      <c r="D38" s="9" t="s">
        <v>13</v>
      </c>
      <c r="E38" s="10" t="s">
        <v>31</v>
      </c>
      <c r="F38" s="25">
        <v>1</v>
      </c>
      <c r="G38" s="25">
        <v>1</v>
      </c>
      <c r="H38" s="21" t="s">
        <v>33</v>
      </c>
      <c r="J38" s="1" t="str">
        <f>IF(OR(Resultados!F38="",Resultados!G38=""),"",IF(AND(F38=Resultados!F38,G38=Resultados!G38),2,IF(((F38&gt;G38)=(Resultados!F38&gt;Resultados!G38))*((F38&lt;G38)=(Resultados!F38&lt;Resultados!G38)),1,0)))</f>
        <v/>
      </c>
    </row>
    <row r="39" spans="1:10" ht="16.2" thickBot="1" x14ac:dyDescent="0.35">
      <c r="A39" s="103"/>
      <c r="B39" s="7">
        <v>46194</v>
      </c>
      <c r="C39" s="8">
        <v>8.3333333333333329E-2</v>
      </c>
      <c r="D39" s="9" t="s">
        <v>13</v>
      </c>
      <c r="E39" s="10" t="s">
        <v>34</v>
      </c>
      <c r="F39" s="25">
        <v>2</v>
      </c>
      <c r="G39" s="25">
        <v>0</v>
      </c>
      <c r="H39" s="21" t="s">
        <v>32</v>
      </c>
      <c r="J39" s="1" t="str">
        <f>IF(OR(Resultados!F39="",Resultados!G39=""),"",IF(AND(F39=Resultados!F39,G39=Resultados!G39),2,IF(((F39&gt;G39)=(Resultados!F39&gt;Resultados!G39))*((F39&lt;G39)=(Resultados!F39&lt;Resultados!G39)),1,0)))</f>
        <v/>
      </c>
    </row>
    <row r="40" spans="1:10" ht="16.2" thickBot="1" x14ac:dyDescent="0.35">
      <c r="A40" s="103"/>
      <c r="B40" s="7">
        <v>46198</v>
      </c>
      <c r="C40" s="8">
        <v>0.91666666666666663</v>
      </c>
      <c r="D40" s="9" t="s">
        <v>14</v>
      </c>
      <c r="E40" s="10" t="s">
        <v>32</v>
      </c>
      <c r="F40" s="25">
        <v>0</v>
      </c>
      <c r="G40" s="25">
        <v>2</v>
      </c>
      <c r="H40" s="21" t="s">
        <v>33</v>
      </c>
      <c r="J40" s="1" t="str">
        <f>IF(OR(Resultados!F40="",Resultados!G40=""),"",IF(AND(F40=Resultados!F40,G40=Resultados!G40),2,IF(((F40&gt;G40)=(Resultados!F40&gt;Resultados!G40))*((F40&lt;G40)=(Resultados!F40&lt;Resultados!G40)),1,0)))</f>
        <v/>
      </c>
    </row>
    <row r="41" spans="1:10" ht="16.2" thickBot="1" x14ac:dyDescent="0.35">
      <c r="A41" s="104"/>
      <c r="B41" s="12">
        <v>46198</v>
      </c>
      <c r="C41" s="13">
        <v>0.91666666666666663</v>
      </c>
      <c r="D41" s="14" t="s">
        <v>14</v>
      </c>
      <c r="E41" s="15" t="s">
        <v>34</v>
      </c>
      <c r="F41" s="25">
        <v>1</v>
      </c>
      <c r="G41" s="25">
        <v>2</v>
      </c>
      <c r="H41" s="21" t="s">
        <v>31</v>
      </c>
      <c r="J41" s="1" t="str">
        <f>IF(OR(Resultados!F41="",Resultados!G41=""),"",IF(AND(F41=Resultados!F41,G41=Resultados!G41),2,IF(((F41&gt;G41)=(Resultados!F41&gt;Resultados!G41))*((F41&lt;G41)=(Resultados!F41&lt;Resultados!G41)),1,0)))</f>
        <v/>
      </c>
    </row>
    <row r="42" spans="1:10" ht="16.2" thickBot="1" x14ac:dyDescent="0.35">
      <c r="A42" s="17"/>
      <c r="B42" s="18"/>
      <c r="C42" s="18"/>
      <c r="D42" s="18"/>
      <c r="E42" s="18"/>
      <c r="F42" s="18"/>
      <c r="G42" s="18"/>
      <c r="H42" s="22"/>
    </row>
    <row r="43" spans="1:10" ht="16.2" thickBot="1" x14ac:dyDescent="0.35">
      <c r="A43" s="16"/>
      <c r="B43" s="4" t="s">
        <v>1</v>
      </c>
      <c r="C43" s="4" t="s">
        <v>2</v>
      </c>
      <c r="D43" s="4" t="s">
        <v>3</v>
      </c>
      <c r="E43" s="5" t="s">
        <v>4</v>
      </c>
      <c r="F43" s="6" t="s">
        <v>5</v>
      </c>
      <c r="G43" s="6" t="s">
        <v>5</v>
      </c>
      <c r="H43" s="23" t="s">
        <v>6</v>
      </c>
    </row>
    <row r="44" spans="1:10" ht="16.2" thickBot="1" x14ac:dyDescent="0.35">
      <c r="A44" s="72" t="s">
        <v>35</v>
      </c>
      <c r="B44" s="7">
        <v>46187</v>
      </c>
      <c r="C44" s="8">
        <v>0.91666666666666663</v>
      </c>
      <c r="D44" s="9" t="s">
        <v>8</v>
      </c>
      <c r="E44" s="10" t="s">
        <v>36</v>
      </c>
      <c r="F44" s="26">
        <v>2</v>
      </c>
      <c r="G44" s="26">
        <v>2</v>
      </c>
      <c r="H44" s="21" t="s">
        <v>37</v>
      </c>
      <c r="J44" s="1">
        <f>IF(OR(Resultados!F44="",Resultados!G44=""),"",IF(AND(F44=Resultados!F44,G44=Resultados!G44),2,IF(((F44&gt;G44)=(Resultados!F44&gt;Resultados!G44))*((F44&lt;G44)=(Resultados!F44&lt;Resultados!G44)),1,0)))</f>
        <v>2</v>
      </c>
    </row>
    <row r="45" spans="1:10" ht="16.2" thickBot="1" x14ac:dyDescent="0.35">
      <c r="A45" s="73"/>
      <c r="B45" s="7">
        <v>46188</v>
      </c>
      <c r="C45" s="8">
        <v>0.16666666666666666</v>
      </c>
      <c r="D45" s="9" t="s">
        <v>8</v>
      </c>
      <c r="E45" s="10" t="s">
        <v>38</v>
      </c>
      <c r="F45" s="26">
        <v>2</v>
      </c>
      <c r="G45" s="26">
        <v>0</v>
      </c>
      <c r="H45" s="21" t="s">
        <v>39</v>
      </c>
      <c r="J45" s="1">
        <f>IF(OR(Resultados!F45="",Resultados!G45=""),"",IF(AND(F45=Resultados!F45,G45=Resultados!G45),2,IF(((F45&gt;G45)=(Resultados!F45&gt;Resultados!G45))*((F45&lt;G45)=(Resultados!F45&lt;Resultados!G45)),1,0)))</f>
        <v>1</v>
      </c>
    </row>
    <row r="46" spans="1:10" ht="16.2" thickBot="1" x14ac:dyDescent="0.35">
      <c r="A46" s="73"/>
      <c r="B46" s="7">
        <v>46193</v>
      </c>
      <c r="C46" s="8">
        <v>0.79166666666666663</v>
      </c>
      <c r="D46" s="9" t="s">
        <v>13</v>
      </c>
      <c r="E46" s="10" t="s">
        <v>36</v>
      </c>
      <c r="F46" s="25">
        <v>2</v>
      </c>
      <c r="G46" s="25">
        <v>1</v>
      </c>
      <c r="H46" s="21" t="s">
        <v>38</v>
      </c>
      <c r="J46" s="1" t="str">
        <f>IF(OR(Resultados!F46="",Resultados!G46=""),"",IF(AND(F46=Resultados!F46,G46=Resultados!G46),2,IF(((F46&gt;G46)=(Resultados!F46&gt;Resultados!G46))*((F46&lt;G46)=(Resultados!F46&lt;Resultados!G46)),1,0)))</f>
        <v/>
      </c>
    </row>
    <row r="47" spans="1:10" ht="16.2" thickBot="1" x14ac:dyDescent="0.35">
      <c r="A47" s="73"/>
      <c r="B47" s="7">
        <v>46194</v>
      </c>
      <c r="C47" s="8">
        <v>0.25</v>
      </c>
      <c r="D47" s="9" t="s">
        <v>13</v>
      </c>
      <c r="E47" s="10" t="s">
        <v>39</v>
      </c>
      <c r="F47" s="25">
        <v>1</v>
      </c>
      <c r="G47" s="25">
        <v>3</v>
      </c>
      <c r="H47" s="21" t="s">
        <v>37</v>
      </c>
      <c r="J47" s="1" t="str">
        <f>IF(OR(Resultados!F47="",Resultados!G47=""),"",IF(AND(F47=Resultados!F47,G47=Resultados!G47),2,IF(((F47&gt;G47)=(Resultados!F47&gt;Resultados!G47))*((F47&lt;G47)=(Resultados!F47&lt;Resultados!G47)),1,0)))</f>
        <v/>
      </c>
    </row>
    <row r="48" spans="1:10" ht="16.2" thickBot="1" x14ac:dyDescent="0.35">
      <c r="A48" s="73"/>
      <c r="B48" s="7">
        <v>46199</v>
      </c>
      <c r="C48" s="8">
        <v>4.1666666666666664E-2</v>
      </c>
      <c r="D48" s="9" t="s">
        <v>14</v>
      </c>
      <c r="E48" s="10" t="s">
        <v>37</v>
      </c>
      <c r="F48" s="25">
        <v>1</v>
      </c>
      <c r="G48" s="25">
        <v>1</v>
      </c>
      <c r="H48" s="21" t="s">
        <v>38</v>
      </c>
      <c r="J48" s="1" t="str">
        <f>IF(OR(Resultados!F48="",Resultados!G48=""),"",IF(AND(F48=Resultados!F48,G48=Resultados!G48),2,IF(((F48&gt;G48)=(Resultados!F48&gt;Resultados!G48))*((F48&lt;G48)=(Resultados!F48&lt;Resultados!G48)),1,0)))</f>
        <v/>
      </c>
    </row>
    <row r="49" spans="1:10" ht="16.2" thickBot="1" x14ac:dyDescent="0.35">
      <c r="A49" s="74"/>
      <c r="B49" s="12">
        <v>46199</v>
      </c>
      <c r="C49" s="13">
        <v>4.1666666666666664E-2</v>
      </c>
      <c r="D49" s="14" t="s">
        <v>14</v>
      </c>
      <c r="E49" s="15" t="s">
        <v>39</v>
      </c>
      <c r="F49" s="25">
        <v>0</v>
      </c>
      <c r="G49" s="25">
        <v>3</v>
      </c>
      <c r="H49" s="21" t="s">
        <v>36</v>
      </c>
      <c r="J49" s="1" t="str">
        <f>IF(OR(Resultados!F49="",Resultados!G49=""),"",IF(AND(F49=Resultados!F49,G49=Resultados!G49),2,IF(((F49&gt;G49)=(Resultados!F49&gt;Resultados!G49))*((F49&lt;G49)=(Resultados!F49&lt;Resultados!G49)),1,0)))</f>
        <v/>
      </c>
    </row>
    <row r="50" spans="1:10" ht="16.2" thickBot="1" x14ac:dyDescent="0.35">
      <c r="A50" s="17"/>
      <c r="B50" s="18"/>
      <c r="C50" s="18"/>
      <c r="D50" s="18"/>
      <c r="E50" s="18"/>
      <c r="F50" s="18"/>
      <c r="G50" s="18"/>
      <c r="H50" s="22"/>
    </row>
    <row r="51" spans="1:10" ht="16.2" thickBot="1" x14ac:dyDescent="0.35">
      <c r="A51" s="16"/>
      <c r="B51" s="4" t="s">
        <v>1</v>
      </c>
      <c r="C51" s="4" t="s">
        <v>2</v>
      </c>
      <c r="D51" s="4" t="s">
        <v>3</v>
      </c>
      <c r="E51" s="5" t="s">
        <v>4</v>
      </c>
      <c r="F51" s="6" t="s">
        <v>5</v>
      </c>
      <c r="G51" s="6" t="s">
        <v>5</v>
      </c>
      <c r="H51" s="23" t="s">
        <v>6</v>
      </c>
    </row>
    <row r="52" spans="1:10" ht="16.2" thickBot="1" x14ac:dyDescent="0.35">
      <c r="A52" s="75" t="s">
        <v>40</v>
      </c>
      <c r="B52" s="7">
        <v>46188</v>
      </c>
      <c r="C52" s="8">
        <v>0.875</v>
      </c>
      <c r="D52" s="9" t="s">
        <v>8</v>
      </c>
      <c r="E52" s="10" t="s">
        <v>41</v>
      </c>
      <c r="F52" s="26">
        <v>2</v>
      </c>
      <c r="G52" s="26">
        <v>1</v>
      </c>
      <c r="H52" s="21" t="s">
        <v>42</v>
      </c>
      <c r="J52" s="1" t="str">
        <f>IF(OR(Resultados!F52="",Resultados!G52=""),"",IF(AND(F52=Resultados!F52,G52=Resultados!G52),2,IF(((F52&gt;G52)=(Resultados!F52&gt;Resultados!G52))*((F52&lt;G52)=(Resultados!F52&lt;Resultados!G52)),1,0)))</f>
        <v/>
      </c>
    </row>
    <row r="53" spans="1:10" ht="16.2" thickBot="1" x14ac:dyDescent="0.35">
      <c r="A53" s="76"/>
      <c r="B53" s="7">
        <v>46189</v>
      </c>
      <c r="C53" s="8">
        <v>0.125</v>
      </c>
      <c r="D53" s="9" t="s">
        <v>8</v>
      </c>
      <c r="E53" s="10" t="s">
        <v>43</v>
      </c>
      <c r="F53" s="26">
        <v>0</v>
      </c>
      <c r="G53" s="26">
        <v>0</v>
      </c>
      <c r="H53" s="21" t="s">
        <v>44</v>
      </c>
      <c r="J53" s="1" t="str">
        <f>IF(OR(Resultados!F53="",Resultados!G53=""),"",IF(AND(F53=Resultados!F53,G53=Resultados!G53),2,IF(((F53&gt;G53)=(Resultados!F53&gt;Resultados!G53))*((F53&lt;G53)=(Resultados!F53&lt;Resultados!G53)),1,0)))</f>
        <v/>
      </c>
    </row>
    <row r="54" spans="1:10" ht="16.2" thickBot="1" x14ac:dyDescent="0.35">
      <c r="A54" s="76"/>
      <c r="B54" s="7">
        <v>46194</v>
      </c>
      <c r="C54" s="8">
        <v>0.875</v>
      </c>
      <c r="D54" s="9" t="s">
        <v>13</v>
      </c>
      <c r="E54" s="10" t="s">
        <v>41</v>
      </c>
      <c r="F54" s="25">
        <v>3</v>
      </c>
      <c r="G54" s="25">
        <v>0</v>
      </c>
      <c r="H54" s="21" t="s">
        <v>43</v>
      </c>
      <c r="J54" s="1" t="str">
        <f>IF(OR(Resultados!F54="",Resultados!G54=""),"",IF(AND(F54=Resultados!F54,G54=Resultados!G54),2,IF(((F54&gt;G54)=(Resultados!F54&gt;Resultados!G54))*((F54&lt;G54)=(Resultados!F54&lt;Resultados!G54)),1,0)))</f>
        <v/>
      </c>
    </row>
    <row r="55" spans="1:10" ht="16.2" thickBot="1" x14ac:dyDescent="0.35">
      <c r="A55" s="76"/>
      <c r="B55" s="7">
        <v>46195</v>
      </c>
      <c r="C55" s="8">
        <v>0.125</v>
      </c>
      <c r="D55" s="9" t="s">
        <v>13</v>
      </c>
      <c r="E55" s="10" t="s">
        <v>44</v>
      </c>
      <c r="F55" s="25">
        <v>0</v>
      </c>
      <c r="G55" s="25">
        <v>2</v>
      </c>
      <c r="H55" s="21" t="s">
        <v>42</v>
      </c>
      <c r="J55" s="1" t="str">
        <f>IF(OR(Resultados!F55="",Resultados!G55=""),"",IF(AND(F55=Resultados!F55,G55=Resultados!G55),2,IF(((F55&gt;G55)=(Resultados!F55&gt;Resultados!G55))*((F55&lt;G55)=(Resultados!F55&lt;Resultados!G55)),1,0)))</f>
        <v/>
      </c>
    </row>
    <row r="56" spans="1:10" ht="16.2" thickBot="1" x14ac:dyDescent="0.35">
      <c r="A56" s="76"/>
      <c r="B56" s="7">
        <v>46200</v>
      </c>
      <c r="C56" s="8">
        <v>0.20833333333333334</v>
      </c>
      <c r="D56" s="9" t="s">
        <v>14</v>
      </c>
      <c r="E56" s="10" t="s">
        <v>42</v>
      </c>
      <c r="F56" s="25">
        <v>2</v>
      </c>
      <c r="G56" s="25">
        <v>0</v>
      </c>
      <c r="H56" s="21" t="s">
        <v>43</v>
      </c>
      <c r="J56" s="1" t="str">
        <f>IF(OR(Resultados!F56="",Resultados!G56=""),"",IF(AND(F56=Resultados!F56,G56=Resultados!G56),2,IF(((F56&gt;G56)=(Resultados!F56&gt;Resultados!G56))*((F56&lt;G56)=(Resultados!F56&lt;Resultados!G56)),1,0)))</f>
        <v/>
      </c>
    </row>
    <row r="57" spans="1:10" ht="16.2" thickBot="1" x14ac:dyDescent="0.35">
      <c r="A57" s="77"/>
      <c r="B57" s="12">
        <v>46200</v>
      </c>
      <c r="C57" s="13">
        <v>0.20833333333333334</v>
      </c>
      <c r="D57" s="14" t="s">
        <v>14</v>
      </c>
      <c r="E57" s="15" t="s">
        <v>44</v>
      </c>
      <c r="F57" s="25">
        <v>0</v>
      </c>
      <c r="G57" s="25">
        <v>3</v>
      </c>
      <c r="H57" s="21" t="s">
        <v>41</v>
      </c>
      <c r="J57" s="1" t="str">
        <f>IF(OR(Resultados!F57="",Resultados!G57=""),"",IF(AND(F57=Resultados!F57,G57=Resultados!G57),2,IF(((F57&gt;G57)=(Resultados!F57&gt;Resultados!G57))*((F57&lt;G57)=(Resultados!F57&lt;Resultados!G57)),1,0)))</f>
        <v/>
      </c>
    </row>
    <row r="58" spans="1:10" ht="16.2" thickBot="1" x14ac:dyDescent="0.35">
      <c r="A58" s="17"/>
      <c r="B58" s="18"/>
      <c r="C58" s="18"/>
      <c r="D58" s="18"/>
      <c r="E58" s="18"/>
      <c r="F58" s="18"/>
      <c r="G58" s="18"/>
      <c r="H58" s="22"/>
    </row>
    <row r="59" spans="1:10" ht="16.2" thickBot="1" x14ac:dyDescent="0.35">
      <c r="A59" s="16"/>
      <c r="B59" s="4" t="s">
        <v>1</v>
      </c>
      <c r="C59" s="4" t="s">
        <v>2</v>
      </c>
      <c r="D59" s="4" t="s">
        <v>3</v>
      </c>
      <c r="E59" s="5" t="s">
        <v>4</v>
      </c>
      <c r="F59" s="6" t="s">
        <v>5</v>
      </c>
      <c r="G59" s="6" t="s">
        <v>5</v>
      </c>
      <c r="H59" s="23" t="s">
        <v>6</v>
      </c>
    </row>
    <row r="60" spans="1:10" ht="16.2" thickBot="1" x14ac:dyDescent="0.35">
      <c r="A60" s="78" t="s">
        <v>45</v>
      </c>
      <c r="B60" s="7">
        <v>46188</v>
      </c>
      <c r="C60" s="8">
        <v>0.75</v>
      </c>
      <c r="D60" s="9" t="s">
        <v>8</v>
      </c>
      <c r="E60" s="10" t="s">
        <v>46</v>
      </c>
      <c r="F60" s="26">
        <v>3</v>
      </c>
      <c r="G60" s="26">
        <v>0</v>
      </c>
      <c r="H60" s="21" t="s">
        <v>47</v>
      </c>
      <c r="J60" s="1" t="str">
        <f>IF(OR(Resultados!F60="",Resultados!G60=""),"",IF(AND(F60=Resultados!F60,G60=Resultados!G60),2,IF(((F60&gt;G60)=(Resultados!F60&gt;Resultados!G60))*((F60&lt;G60)=(Resultados!F60&lt;Resultados!G60)),1,0)))</f>
        <v/>
      </c>
    </row>
    <row r="61" spans="1:10" ht="16.2" thickBot="1" x14ac:dyDescent="0.35">
      <c r="A61" s="79"/>
      <c r="B61" s="7">
        <v>46189</v>
      </c>
      <c r="C61" s="8">
        <v>0</v>
      </c>
      <c r="D61" s="9" t="s">
        <v>8</v>
      </c>
      <c r="E61" s="10" t="s">
        <v>48</v>
      </c>
      <c r="F61" s="26">
        <v>1</v>
      </c>
      <c r="G61" s="26">
        <v>2</v>
      </c>
      <c r="H61" s="21" t="s">
        <v>49</v>
      </c>
      <c r="J61" s="1" t="str">
        <f>IF(OR(Resultados!F61="",Resultados!G61=""),"",IF(AND(F61=Resultados!F61,G61=Resultados!G61),2,IF(((F61&gt;G61)=(Resultados!F61&gt;Resultados!G61))*((F61&lt;G61)=(Resultados!F61&lt;Resultados!G61)),1,0)))</f>
        <v/>
      </c>
    </row>
    <row r="62" spans="1:10" ht="16.2" thickBot="1" x14ac:dyDescent="0.35">
      <c r="A62" s="79"/>
      <c r="B62" s="7">
        <v>46194</v>
      </c>
      <c r="C62" s="8">
        <v>0.75</v>
      </c>
      <c r="D62" s="9" t="s">
        <v>13</v>
      </c>
      <c r="E62" s="10" t="s">
        <v>46</v>
      </c>
      <c r="F62" s="25">
        <v>2</v>
      </c>
      <c r="G62" s="25">
        <v>0</v>
      </c>
      <c r="H62" s="21" t="s">
        <v>48</v>
      </c>
      <c r="J62" s="1" t="str">
        <f>IF(OR(Resultados!F62="",Resultados!G62=""),"",IF(AND(F62=Resultados!F62,G62=Resultados!G62),2,IF(((F62&gt;G62)=(Resultados!F62&gt;Resultados!G62))*((F62&lt;G62)=(Resultados!F62&lt;Resultados!G62)),1,0)))</f>
        <v/>
      </c>
    </row>
    <row r="63" spans="1:10" ht="16.2" thickBot="1" x14ac:dyDescent="0.35">
      <c r="A63" s="79"/>
      <c r="B63" s="7">
        <v>46195</v>
      </c>
      <c r="C63" s="8">
        <v>0</v>
      </c>
      <c r="D63" s="9" t="s">
        <v>13</v>
      </c>
      <c r="E63" s="10" t="s">
        <v>49</v>
      </c>
      <c r="F63" s="25">
        <v>1</v>
      </c>
      <c r="G63" s="25">
        <v>0</v>
      </c>
      <c r="H63" s="21" t="s">
        <v>47</v>
      </c>
      <c r="J63" s="1" t="str">
        <f>IF(OR(Resultados!F63="",Resultados!G63=""),"",IF(AND(F63=Resultados!F63,G63=Resultados!G63),2,IF(((F63&gt;G63)=(Resultados!F63&gt;Resultados!G63))*((F63&lt;G63)=(Resultados!F63&lt;Resultados!G63)),1,0)))</f>
        <v/>
      </c>
    </row>
    <row r="64" spans="1:10" ht="16.2" thickBot="1" x14ac:dyDescent="0.35">
      <c r="A64" s="79"/>
      <c r="B64" s="7">
        <v>46200</v>
      </c>
      <c r="C64" s="8">
        <v>8.3333333333333329E-2</v>
      </c>
      <c r="D64" s="9" t="s">
        <v>14</v>
      </c>
      <c r="E64" s="10" t="s">
        <v>47</v>
      </c>
      <c r="F64" s="25">
        <v>0</v>
      </c>
      <c r="G64" s="25">
        <v>0</v>
      </c>
      <c r="H64" s="21" t="s">
        <v>48</v>
      </c>
      <c r="J64" s="1" t="str">
        <f>IF(OR(Resultados!F64="",Resultados!G64=""),"",IF(AND(F64=Resultados!F64,G64=Resultados!G64),2,IF(((F64&gt;G64)=(Resultados!F64&gt;Resultados!G64))*((F64&lt;G64)=(Resultados!F64&lt;Resultados!G64)),1,0)))</f>
        <v/>
      </c>
    </row>
    <row r="65" spans="1:10" ht="16.2" thickBot="1" x14ac:dyDescent="0.35">
      <c r="A65" s="80"/>
      <c r="B65" s="12">
        <v>46200</v>
      </c>
      <c r="C65" s="13">
        <v>8.3333333333333329E-2</v>
      </c>
      <c r="D65" s="14" t="s">
        <v>14</v>
      </c>
      <c r="E65" s="15" t="s">
        <v>49</v>
      </c>
      <c r="F65" s="25">
        <v>2</v>
      </c>
      <c r="G65" s="25">
        <v>2</v>
      </c>
      <c r="H65" s="21" t="s">
        <v>46</v>
      </c>
      <c r="J65" s="1" t="str">
        <f>IF(OR(Resultados!F65="",Resultados!G65=""),"",IF(AND(F65=Resultados!F65,G65=Resultados!G65),2,IF(((F65&gt;G65)=(Resultados!F65&gt;Resultados!G65))*((F65&lt;G65)=(Resultados!F65&lt;Resultados!G65)),1,0)))</f>
        <v/>
      </c>
    </row>
    <row r="66" spans="1:10" ht="16.2" thickBot="1" x14ac:dyDescent="0.35">
      <c r="A66" s="17"/>
      <c r="B66" s="18"/>
      <c r="C66" s="18"/>
      <c r="D66" s="18"/>
      <c r="E66" s="18"/>
      <c r="F66" s="18"/>
      <c r="G66" s="18"/>
      <c r="H66" s="22"/>
    </row>
    <row r="67" spans="1:10" ht="16.2" thickBot="1" x14ac:dyDescent="0.35">
      <c r="A67" s="16"/>
      <c r="B67" s="4" t="s">
        <v>1</v>
      </c>
      <c r="C67" s="4" t="s">
        <v>2</v>
      </c>
      <c r="D67" s="4" t="s">
        <v>3</v>
      </c>
      <c r="E67" s="5" t="s">
        <v>4</v>
      </c>
      <c r="F67" s="6" t="s">
        <v>5</v>
      </c>
      <c r="G67" s="6" t="s">
        <v>5</v>
      </c>
      <c r="H67" s="23" t="s">
        <v>6</v>
      </c>
    </row>
    <row r="68" spans="1:10" ht="16.2" thickBot="1" x14ac:dyDescent="0.35">
      <c r="A68" s="81" t="s">
        <v>50</v>
      </c>
      <c r="B68" s="7">
        <v>46189</v>
      </c>
      <c r="C68" s="8">
        <v>0.875</v>
      </c>
      <c r="D68" s="9" t="s">
        <v>8</v>
      </c>
      <c r="E68" s="10" t="s">
        <v>51</v>
      </c>
      <c r="F68" s="26">
        <v>2</v>
      </c>
      <c r="G68" s="26">
        <v>1</v>
      </c>
      <c r="H68" s="21" t="s">
        <v>52</v>
      </c>
      <c r="J68" s="1" t="str">
        <f>IF(OR(Resultados!F68="",Resultados!G68=""),"",IF(AND(F68=Resultados!F68,G68=Resultados!G68),2,IF(((F68&gt;G68)=(Resultados!F68&gt;Resultados!G68))*((F68&lt;G68)=(Resultados!F68&lt;Resultados!G68)),1,0)))</f>
        <v/>
      </c>
    </row>
    <row r="69" spans="1:10" ht="16.2" thickBot="1" x14ac:dyDescent="0.35">
      <c r="A69" s="82"/>
      <c r="B69" s="7">
        <v>46190</v>
      </c>
      <c r="C69" s="8">
        <v>0</v>
      </c>
      <c r="D69" s="9" t="s">
        <v>8</v>
      </c>
      <c r="E69" s="10" t="s">
        <v>53</v>
      </c>
      <c r="F69" s="26">
        <v>0</v>
      </c>
      <c r="G69" s="26">
        <v>2</v>
      </c>
      <c r="H69" s="21" t="s">
        <v>54</v>
      </c>
      <c r="J69" s="1" t="str">
        <f>IF(OR(Resultados!F69="",Resultados!G69=""),"",IF(AND(F69=Resultados!F69,G69=Resultados!G69),2,IF(((F69&gt;G69)=(Resultados!F69&gt;Resultados!G69))*((F69&lt;G69)=(Resultados!F69&lt;Resultados!G69)),1,0)))</f>
        <v/>
      </c>
    </row>
    <row r="70" spans="1:10" ht="16.2" thickBot="1" x14ac:dyDescent="0.35">
      <c r="A70" s="82"/>
      <c r="B70" s="7">
        <v>46195</v>
      </c>
      <c r="C70" s="8">
        <v>0.95833333333333337</v>
      </c>
      <c r="D70" s="9" t="s">
        <v>13</v>
      </c>
      <c r="E70" s="10" t="s">
        <v>51</v>
      </c>
      <c r="F70" s="25">
        <v>4</v>
      </c>
      <c r="G70" s="25">
        <v>0</v>
      </c>
      <c r="H70" s="21" t="s">
        <v>53</v>
      </c>
      <c r="J70" s="1" t="str">
        <f>IF(OR(Resultados!F70="",Resultados!G70=""),"",IF(AND(F70=Resultados!F70,G70=Resultados!G70),2,IF(((F70&gt;G70)=(Resultados!F70&gt;Resultados!G70))*((F70&lt;G70)=(Resultados!F70&lt;Resultados!G70)),1,0)))</f>
        <v/>
      </c>
    </row>
    <row r="71" spans="1:10" ht="16.2" thickBot="1" x14ac:dyDescent="0.35">
      <c r="A71" s="82"/>
      <c r="B71" s="7">
        <v>46196</v>
      </c>
      <c r="C71" s="8">
        <v>8.3333333333333329E-2</v>
      </c>
      <c r="D71" s="9" t="s">
        <v>13</v>
      </c>
      <c r="E71" s="10" t="s">
        <v>54</v>
      </c>
      <c r="F71" s="25">
        <v>1</v>
      </c>
      <c r="G71" s="25">
        <v>1</v>
      </c>
      <c r="H71" s="21" t="s">
        <v>52</v>
      </c>
      <c r="J71" s="1" t="str">
        <f>IF(OR(Resultados!F71="",Resultados!G71=""),"",IF(AND(F71=Resultados!F71,G71=Resultados!G71),2,IF(((F71&gt;G71)=(Resultados!F71&gt;Resultados!G71))*((F71&lt;G71)=(Resultados!F71&lt;Resultados!G71)),1,0)))</f>
        <v/>
      </c>
    </row>
    <row r="72" spans="1:10" ht="16.2" thickBot="1" x14ac:dyDescent="0.35">
      <c r="A72" s="82"/>
      <c r="B72" s="7">
        <v>46199</v>
      </c>
      <c r="C72" s="8">
        <v>0.875</v>
      </c>
      <c r="D72" s="9" t="s">
        <v>14</v>
      </c>
      <c r="E72" s="10" t="s">
        <v>54</v>
      </c>
      <c r="F72" s="25">
        <v>2</v>
      </c>
      <c r="G72" s="25">
        <v>2</v>
      </c>
      <c r="H72" s="21" t="s">
        <v>51</v>
      </c>
      <c r="J72" s="1" t="str">
        <f>IF(OR(Resultados!F72="",Resultados!G72=""),"",IF(AND(F72=Resultados!F72,G72=Resultados!G72),2,IF(((F72&gt;G72)=(Resultados!F72&gt;Resultados!G72))*((F72&lt;G72)=(Resultados!F72&lt;Resultados!G72)),1,0)))</f>
        <v/>
      </c>
    </row>
    <row r="73" spans="1:10" ht="16.2" thickBot="1" x14ac:dyDescent="0.35">
      <c r="A73" s="83"/>
      <c r="B73" s="12">
        <v>46199</v>
      </c>
      <c r="C73" s="13">
        <v>0.875</v>
      </c>
      <c r="D73" s="14" t="s">
        <v>14</v>
      </c>
      <c r="E73" s="15" t="s">
        <v>52</v>
      </c>
      <c r="F73" s="25">
        <v>1</v>
      </c>
      <c r="G73" s="25">
        <v>0</v>
      </c>
      <c r="H73" s="21" t="s">
        <v>53</v>
      </c>
      <c r="J73" s="1" t="str">
        <f>IF(OR(Resultados!F73="",Resultados!G73=""),"",IF(AND(F73=Resultados!F73,G73=Resultados!G73),2,IF(((F73&gt;G73)=(Resultados!F73&gt;Resultados!G73))*((F73&lt;G73)=(Resultados!F73&lt;Resultados!G73)),1,0)))</f>
        <v/>
      </c>
    </row>
    <row r="74" spans="1:10" ht="16.2" thickBot="1" x14ac:dyDescent="0.35">
      <c r="A74" s="17"/>
      <c r="B74" s="18"/>
      <c r="C74" s="18"/>
      <c r="D74" s="18"/>
      <c r="E74" s="18"/>
      <c r="F74" s="18"/>
      <c r="G74" s="18"/>
      <c r="H74" s="22"/>
    </row>
    <row r="75" spans="1:10" ht="16.2" thickBot="1" x14ac:dyDescent="0.35">
      <c r="A75" s="16"/>
      <c r="B75" s="4" t="s">
        <v>1</v>
      </c>
      <c r="C75" s="4" t="s">
        <v>2</v>
      </c>
      <c r="D75" s="4" t="s">
        <v>3</v>
      </c>
      <c r="E75" s="5" t="s">
        <v>4</v>
      </c>
      <c r="F75" s="6" t="s">
        <v>5</v>
      </c>
      <c r="G75" s="6" t="s">
        <v>5</v>
      </c>
      <c r="H75" s="23" t="s">
        <v>6</v>
      </c>
    </row>
    <row r="76" spans="1:10" ht="16.2" thickBot="1" x14ac:dyDescent="0.35">
      <c r="A76" s="84" t="s">
        <v>55</v>
      </c>
      <c r="B76" s="7">
        <v>46190</v>
      </c>
      <c r="C76" s="8">
        <v>0.125</v>
      </c>
      <c r="D76" s="9" t="s">
        <v>8</v>
      </c>
      <c r="E76" s="10" t="s">
        <v>56</v>
      </c>
      <c r="F76" s="26">
        <v>3</v>
      </c>
      <c r="G76" s="26">
        <v>0</v>
      </c>
      <c r="H76" s="21" t="s">
        <v>57</v>
      </c>
      <c r="J76" s="1" t="str">
        <f>IF(OR(Resultados!F76="",Resultados!G76=""),"",IF(AND(F76=Resultados!F76,G76=Resultados!G76),2,IF(((F76&gt;G76)=(Resultados!F76&gt;Resultados!G76))*((F76&lt;G76)=(Resultados!F76&lt;Resultados!G76)),1,0)))</f>
        <v/>
      </c>
    </row>
    <row r="77" spans="1:10" ht="16.2" thickBot="1" x14ac:dyDescent="0.35">
      <c r="A77" s="85"/>
      <c r="B77" s="7">
        <v>46190</v>
      </c>
      <c r="C77" s="8">
        <v>0.25</v>
      </c>
      <c r="D77" s="9" t="s">
        <v>8</v>
      </c>
      <c r="E77" s="10" t="s">
        <v>58</v>
      </c>
      <c r="F77" s="26">
        <v>0</v>
      </c>
      <c r="G77" s="26">
        <v>0</v>
      </c>
      <c r="H77" s="21" t="s">
        <v>59</v>
      </c>
      <c r="J77" s="1" t="str">
        <f>IF(OR(Resultados!F77="",Resultados!G77=""),"",IF(AND(F77=Resultados!F77,G77=Resultados!G77),2,IF(((F77&gt;G77)=(Resultados!F77&gt;Resultados!G77))*((F77&lt;G77)=(Resultados!F77&lt;Resultados!G77)),1,0)))</f>
        <v/>
      </c>
    </row>
    <row r="78" spans="1:10" ht="16.2" thickBot="1" x14ac:dyDescent="0.35">
      <c r="A78" s="85"/>
      <c r="B78" s="7">
        <v>46195</v>
      </c>
      <c r="C78" s="8">
        <v>0.79166666666666663</v>
      </c>
      <c r="D78" s="9" t="s">
        <v>13</v>
      </c>
      <c r="E78" s="10" t="s">
        <v>56</v>
      </c>
      <c r="F78" s="25">
        <v>2</v>
      </c>
      <c r="G78" s="25">
        <v>0</v>
      </c>
      <c r="H78" s="21" t="s">
        <v>58</v>
      </c>
      <c r="J78" s="1" t="str">
        <f>IF(OR(Resultados!F78="",Resultados!G78=""),"",IF(AND(F78=Resultados!F78,G78=Resultados!G78),2,IF(((F78&gt;G78)=(Resultados!F78&gt;Resultados!G78))*((F78&lt;G78)=(Resultados!F78&lt;Resultados!G78)),1,0)))</f>
        <v/>
      </c>
    </row>
    <row r="79" spans="1:10" ht="16.2" thickBot="1" x14ac:dyDescent="0.35">
      <c r="A79" s="85"/>
      <c r="B79" s="7">
        <v>46196</v>
      </c>
      <c r="C79" s="8">
        <v>0.20833333333333334</v>
      </c>
      <c r="D79" s="9" t="s">
        <v>13</v>
      </c>
      <c r="E79" s="10" t="s">
        <v>59</v>
      </c>
      <c r="F79" s="25">
        <v>1</v>
      </c>
      <c r="G79" s="25">
        <v>1</v>
      </c>
      <c r="H79" s="21" t="s">
        <v>57</v>
      </c>
      <c r="J79" s="1" t="str">
        <f>IF(OR(Resultados!F79="",Resultados!G79=""),"",IF(AND(F79=Resultados!F79,G79=Resultados!G79),2,IF(((F79&gt;G79)=(Resultados!F79&gt;Resultados!G79))*((F79&lt;G79)=(Resultados!F79&lt;Resultados!G79)),1,0)))</f>
        <v/>
      </c>
    </row>
    <row r="80" spans="1:10" ht="16.2" thickBot="1" x14ac:dyDescent="0.35">
      <c r="A80" s="85"/>
      <c r="B80" s="7">
        <v>46201</v>
      </c>
      <c r="C80" s="8">
        <v>0.16666666666666666</v>
      </c>
      <c r="D80" s="9" t="s">
        <v>14</v>
      </c>
      <c r="E80" s="10" t="s">
        <v>57</v>
      </c>
      <c r="F80" s="25">
        <v>1</v>
      </c>
      <c r="G80" s="25">
        <v>1</v>
      </c>
      <c r="H80" s="21" t="s">
        <v>58</v>
      </c>
      <c r="J80" s="1" t="str">
        <f>IF(OR(Resultados!F80="",Resultados!G80=""),"",IF(AND(F80=Resultados!F80,G80=Resultados!G80),2,IF(((F80&gt;G80)=(Resultados!F80&gt;Resultados!G80))*((F80&lt;G80)=(Resultados!F80&lt;Resultados!G80)),1,0)))</f>
        <v/>
      </c>
    </row>
    <row r="81" spans="1:10" ht="16.2" thickBot="1" x14ac:dyDescent="0.35">
      <c r="A81" s="86"/>
      <c r="B81" s="12">
        <v>46201</v>
      </c>
      <c r="C81" s="13">
        <v>0.16666666666666666</v>
      </c>
      <c r="D81" s="14" t="s">
        <v>14</v>
      </c>
      <c r="E81" s="15" t="s">
        <v>59</v>
      </c>
      <c r="F81" s="25">
        <v>0</v>
      </c>
      <c r="G81" s="25">
        <v>4</v>
      </c>
      <c r="H81" s="21" t="s">
        <v>56</v>
      </c>
      <c r="J81" s="1" t="str">
        <f>IF(OR(Resultados!F81="",Resultados!G81=""),"",IF(AND(F81=Resultados!F81,G81=Resultados!G81),2,IF(((F81&gt;G81)=(Resultados!F81&gt;Resultados!G81))*((F81&lt;G81)=(Resultados!F81&lt;Resultados!G81)),1,0)))</f>
        <v/>
      </c>
    </row>
    <row r="82" spans="1:10" ht="14.4" customHeight="1" thickBot="1" x14ac:dyDescent="0.35">
      <c r="A82" s="19"/>
      <c r="B82" s="19"/>
      <c r="C82" s="19"/>
      <c r="D82" s="19"/>
      <c r="E82" s="19"/>
      <c r="F82" s="19"/>
      <c r="G82" s="19"/>
      <c r="H82" s="24"/>
    </row>
    <row r="83" spans="1:10" ht="16.2" thickBot="1" x14ac:dyDescent="0.35">
      <c r="A83" s="16"/>
      <c r="B83" s="4" t="s">
        <v>1</v>
      </c>
      <c r="C83" s="4" t="s">
        <v>2</v>
      </c>
      <c r="D83" s="4" t="s">
        <v>3</v>
      </c>
      <c r="E83" s="5" t="s">
        <v>4</v>
      </c>
      <c r="F83" s="6" t="s">
        <v>5</v>
      </c>
      <c r="G83" s="6" t="s">
        <v>5</v>
      </c>
      <c r="H83" s="23" t="s">
        <v>6</v>
      </c>
    </row>
    <row r="84" spans="1:10" ht="16.2" thickBot="1" x14ac:dyDescent="0.35">
      <c r="A84" s="87" t="s">
        <v>60</v>
      </c>
      <c r="B84" s="7">
        <v>46190</v>
      </c>
      <c r="C84" s="8">
        <v>0.79166666666666663</v>
      </c>
      <c r="D84" s="9" t="s">
        <v>8</v>
      </c>
      <c r="E84" s="10" t="s">
        <v>61</v>
      </c>
      <c r="F84" s="26">
        <v>2</v>
      </c>
      <c r="G84" s="26">
        <v>0</v>
      </c>
      <c r="H84" s="21" t="s">
        <v>62</v>
      </c>
      <c r="J84" s="1" t="str">
        <f>IF(OR(Resultados!F84="",Resultados!G84=""),"",IF(AND(F84=Resultados!F84,G84=Resultados!G84),2,IF(((F84&gt;G84)=(Resultados!F84&gt;Resultados!G84))*((F84&lt;G84)=(Resultados!F84&lt;Resultados!G84)),1,0)))</f>
        <v/>
      </c>
    </row>
    <row r="85" spans="1:10" ht="16.2" thickBot="1" x14ac:dyDescent="0.35">
      <c r="A85" s="88"/>
      <c r="B85" s="7">
        <v>46191</v>
      </c>
      <c r="C85" s="8">
        <v>0.16666666666666666</v>
      </c>
      <c r="D85" s="9" t="s">
        <v>8</v>
      </c>
      <c r="E85" s="10" t="s">
        <v>63</v>
      </c>
      <c r="F85" s="26">
        <v>0</v>
      </c>
      <c r="G85" s="26">
        <v>2</v>
      </c>
      <c r="H85" s="21" t="s">
        <v>64</v>
      </c>
      <c r="J85" s="1" t="str">
        <f>IF(OR(Resultados!F85="",Resultados!G85=""),"",IF(AND(F85=Resultados!F85,G85=Resultados!G85),2,IF(((F85&gt;G85)=(Resultados!F85&gt;Resultados!G85))*((F85&lt;G85)=(Resultados!F85&lt;Resultados!G85)),1,0)))</f>
        <v/>
      </c>
    </row>
    <row r="86" spans="1:10" ht="16.2" thickBot="1" x14ac:dyDescent="0.35">
      <c r="A86" s="88"/>
      <c r="B86" s="7">
        <v>46196</v>
      </c>
      <c r="C86" s="8">
        <v>0.79166666666666663</v>
      </c>
      <c r="D86" s="9" t="s">
        <v>13</v>
      </c>
      <c r="E86" s="10" t="s">
        <v>61</v>
      </c>
      <c r="F86" s="25">
        <v>3</v>
      </c>
      <c r="G86" s="25">
        <v>0</v>
      </c>
      <c r="H86" s="21" t="s">
        <v>63</v>
      </c>
      <c r="J86" s="1" t="str">
        <f>IF(OR(Resultados!F86="",Resultados!G86=""),"",IF(AND(F86=Resultados!F86,G86=Resultados!G86),2,IF(((F86&gt;G86)=(Resultados!F86&gt;Resultados!G86))*((F86&lt;G86)=(Resultados!F86&lt;Resultados!G86)),1,0)))</f>
        <v/>
      </c>
    </row>
    <row r="87" spans="1:10" ht="16.2" thickBot="1" x14ac:dyDescent="0.35">
      <c r="A87" s="88"/>
      <c r="B87" s="7">
        <v>46197</v>
      </c>
      <c r="C87" s="8">
        <v>0.16666666666666666</v>
      </c>
      <c r="D87" s="9" t="s">
        <v>13</v>
      </c>
      <c r="E87" s="10" t="s">
        <v>64</v>
      </c>
      <c r="F87" s="25">
        <v>2</v>
      </c>
      <c r="G87" s="25">
        <v>0</v>
      </c>
      <c r="H87" s="21" t="s">
        <v>62</v>
      </c>
      <c r="J87" s="1" t="str">
        <f>IF(OR(Resultados!F87="",Resultados!G87=""),"",IF(AND(F87=Resultados!F87,G87=Resultados!G87),2,IF(((F87&gt;G87)=(Resultados!F87&gt;Resultados!G87))*((F87&lt;G87)=(Resultados!F87&lt;Resultados!G87)),1,0)))</f>
        <v/>
      </c>
    </row>
    <row r="88" spans="1:10" ht="16.2" thickBot="1" x14ac:dyDescent="0.35">
      <c r="A88" s="88"/>
      <c r="B88" s="7">
        <v>46201</v>
      </c>
      <c r="C88" s="8">
        <v>6.25E-2</v>
      </c>
      <c r="D88" s="9" t="s">
        <v>14</v>
      </c>
      <c r="E88" s="10" t="s">
        <v>64</v>
      </c>
      <c r="F88" s="25">
        <v>2</v>
      </c>
      <c r="G88" s="25">
        <v>3</v>
      </c>
      <c r="H88" s="21" t="s">
        <v>61</v>
      </c>
      <c r="J88" s="1" t="str">
        <f>IF(OR(Resultados!F88="",Resultados!G88=""),"",IF(AND(F88=Resultados!F88,G88=Resultados!G88),2,IF(((F88&gt;G88)=(Resultados!F88&gt;Resultados!G88))*((F88&lt;G88)=(Resultados!F88&lt;Resultados!G88)),1,0)))</f>
        <v/>
      </c>
    </row>
    <row r="89" spans="1:10" ht="16.2" thickBot="1" x14ac:dyDescent="0.35">
      <c r="A89" s="89"/>
      <c r="B89" s="12">
        <v>46201</v>
      </c>
      <c r="C89" s="13">
        <v>6.25E-2</v>
      </c>
      <c r="D89" s="14" t="s">
        <v>14</v>
      </c>
      <c r="E89" s="15" t="s">
        <v>62</v>
      </c>
      <c r="F89" s="25">
        <v>1</v>
      </c>
      <c r="G89" s="25">
        <v>1</v>
      </c>
      <c r="H89" s="21" t="s">
        <v>63</v>
      </c>
      <c r="J89" s="1" t="str">
        <f>IF(OR(Resultados!F89="",Resultados!G89=""),"",IF(AND(F89=Resultados!F89,G89=Resultados!G89),2,IF(((F89&gt;G89)=(Resultados!F89&gt;Resultados!G89))*((F89&lt;G89)=(Resultados!F89&lt;Resultados!G89)),1,0)))</f>
        <v/>
      </c>
    </row>
    <row r="90" spans="1:10" ht="16.2" thickBot="1" x14ac:dyDescent="0.35">
      <c r="A90" s="17"/>
      <c r="B90" s="18"/>
      <c r="C90" s="18"/>
      <c r="D90" s="18"/>
      <c r="E90" s="18"/>
      <c r="F90" s="18"/>
      <c r="G90" s="18"/>
      <c r="H90" s="22"/>
    </row>
    <row r="91" spans="1:10" ht="16.2" thickBot="1" x14ac:dyDescent="0.35">
      <c r="A91" s="16"/>
      <c r="B91" s="4" t="s">
        <v>1</v>
      </c>
      <c r="C91" s="4" t="s">
        <v>2</v>
      </c>
      <c r="D91" s="4" t="s">
        <v>3</v>
      </c>
      <c r="E91" s="5" t="s">
        <v>4</v>
      </c>
      <c r="F91" s="6" t="s">
        <v>5</v>
      </c>
      <c r="G91" s="6" t="s">
        <v>5</v>
      </c>
      <c r="H91" s="23" t="s">
        <v>6</v>
      </c>
    </row>
    <row r="92" spans="1:10" ht="16.2" thickBot="1" x14ac:dyDescent="0.35">
      <c r="A92" s="69" t="s">
        <v>65</v>
      </c>
      <c r="B92" s="7">
        <v>46190</v>
      </c>
      <c r="C92" s="8">
        <v>0.91666666666666663</v>
      </c>
      <c r="D92" s="9" t="s">
        <v>8</v>
      </c>
      <c r="E92" s="10" t="s">
        <v>66</v>
      </c>
      <c r="F92" s="26">
        <v>2</v>
      </c>
      <c r="G92" s="26">
        <v>2</v>
      </c>
      <c r="H92" s="21" t="s">
        <v>67</v>
      </c>
      <c r="J92" s="1" t="str">
        <f>IF(OR(Resultados!F92="",Resultados!G92=""),"",IF(AND(F92=Resultados!F92,G92=Resultados!G92),2,IF(((F92&gt;G92)=(Resultados!F92&gt;Resultados!G92))*((F92&lt;G92)=(Resultados!F92&lt;Resultados!G92)),1,0)))</f>
        <v/>
      </c>
    </row>
    <row r="93" spans="1:10" ht="16.2" thickBot="1" x14ac:dyDescent="0.35">
      <c r="A93" s="70"/>
      <c r="B93" s="7">
        <v>46191</v>
      </c>
      <c r="C93" s="8">
        <v>4.1666666666666664E-2</v>
      </c>
      <c r="D93" s="9" t="s">
        <v>8</v>
      </c>
      <c r="E93" s="10" t="s">
        <v>68</v>
      </c>
      <c r="F93" s="26">
        <v>1</v>
      </c>
      <c r="G93" s="26">
        <v>1</v>
      </c>
      <c r="H93" s="21" t="s">
        <v>69</v>
      </c>
      <c r="J93" s="1" t="str">
        <f>IF(OR(Resultados!F93="",Resultados!G93=""),"",IF(AND(F93=Resultados!F93,G93=Resultados!G93),2,IF(((F93&gt;G93)=(Resultados!F93&gt;Resultados!G93))*((F93&lt;G93)=(Resultados!F93&lt;Resultados!G93)),1,0)))</f>
        <v/>
      </c>
    </row>
    <row r="94" spans="1:10" ht="16.2" thickBot="1" x14ac:dyDescent="0.35">
      <c r="A94" s="70"/>
      <c r="B94" s="7">
        <v>46196</v>
      </c>
      <c r="C94" s="8">
        <v>0.91666666666666663</v>
      </c>
      <c r="D94" s="9" t="s">
        <v>13</v>
      </c>
      <c r="E94" s="10" t="s">
        <v>66</v>
      </c>
      <c r="F94" s="25">
        <v>2</v>
      </c>
      <c r="G94" s="25">
        <v>0</v>
      </c>
      <c r="H94" s="21" t="s">
        <v>68</v>
      </c>
      <c r="J94" s="1" t="str">
        <f>IF(OR(Resultados!F94="",Resultados!G94=""),"",IF(AND(F94=Resultados!F94,G94=Resultados!G94),2,IF(((F94&gt;G94)=(Resultados!F94&gt;Resultados!G94))*((F94&lt;G94)=(Resultados!F94&lt;Resultados!G94)),1,0)))</f>
        <v/>
      </c>
    </row>
    <row r="95" spans="1:10" ht="16.2" thickBot="1" x14ac:dyDescent="0.35">
      <c r="A95" s="70"/>
      <c r="B95" s="7">
        <v>46197</v>
      </c>
      <c r="C95" s="8">
        <v>4.1666666666666664E-2</v>
      </c>
      <c r="D95" s="9" t="s">
        <v>13</v>
      </c>
      <c r="E95" s="10" t="s">
        <v>69</v>
      </c>
      <c r="F95" s="25">
        <v>0</v>
      </c>
      <c r="G95" s="25">
        <v>2</v>
      </c>
      <c r="H95" s="21" t="s">
        <v>67</v>
      </c>
      <c r="J95" s="1" t="str">
        <f>IF(OR(Resultados!F95="",Resultados!G95=""),"",IF(AND(F95=Resultados!F95,G95=Resultados!G95),2,IF(((F95&gt;G95)=(Resultados!F95&gt;Resultados!G95))*((F95&lt;G95)=(Resultados!F95&lt;Resultados!G95)),1,0)))</f>
        <v/>
      </c>
    </row>
    <row r="96" spans="1:10" ht="16.2" thickBot="1" x14ac:dyDescent="0.35">
      <c r="A96" s="70"/>
      <c r="B96" s="7">
        <v>46200</v>
      </c>
      <c r="C96" s="8">
        <v>0.95833333333333337</v>
      </c>
      <c r="D96" s="9" t="s">
        <v>14</v>
      </c>
      <c r="E96" s="10" t="s">
        <v>69</v>
      </c>
      <c r="F96" s="25">
        <v>3</v>
      </c>
      <c r="G96" s="25">
        <v>0</v>
      </c>
      <c r="H96" s="21" t="s">
        <v>66</v>
      </c>
      <c r="J96" s="1" t="str">
        <f>IF(OR(Resultados!F96="",Resultados!G96=""),"",IF(AND(F96=Resultados!F96,G96=Resultados!G96),2,IF(((F96&gt;G96)=(Resultados!F96&gt;Resultados!G96))*((F96&lt;G96)=(Resultados!F96&lt;Resultados!G96)),1,0)))</f>
        <v/>
      </c>
    </row>
    <row r="97" spans="1:10" ht="16.2" thickBot="1" x14ac:dyDescent="0.35">
      <c r="A97" s="71"/>
      <c r="B97" s="12">
        <v>46200</v>
      </c>
      <c r="C97" s="13">
        <v>0.95833333333333337</v>
      </c>
      <c r="D97" s="14" t="s">
        <v>14</v>
      </c>
      <c r="E97" s="15" t="s">
        <v>67</v>
      </c>
      <c r="F97" s="25">
        <v>2</v>
      </c>
      <c r="G97" s="25">
        <v>0</v>
      </c>
      <c r="H97" s="21" t="s">
        <v>68</v>
      </c>
      <c r="J97" s="1" t="str">
        <f>IF(OR(Resultados!F97="",Resultados!G97=""),"",IF(AND(F97=Resultados!F97,G97=Resultados!G97),2,IF(((F97&gt;G97)=(Resultados!F97&gt;Resultados!G97))*((F97&lt;G97)=(Resultados!F97&lt;Resultados!G97)),1,0)))</f>
        <v/>
      </c>
    </row>
  </sheetData>
  <mergeCells count="14">
    <mergeCell ref="A84:A89"/>
    <mergeCell ref="A92:A97"/>
    <mergeCell ref="A36:A41"/>
    <mergeCell ref="A44:A49"/>
    <mergeCell ref="A52:A57"/>
    <mergeCell ref="A60:A65"/>
    <mergeCell ref="A68:A73"/>
    <mergeCell ref="A76:A81"/>
    <mergeCell ref="A28:A33"/>
    <mergeCell ref="A1:H1"/>
    <mergeCell ref="A2:H2"/>
    <mergeCell ref="A4:A9"/>
    <mergeCell ref="A12:A17"/>
    <mergeCell ref="A20:A25"/>
  </mergeCells>
  <pageMargins left="0.7" right="0.7" top="0.75" bottom="0.75" header="0.3" footer="0.3"/>
  <ignoredErrors>
    <ignoredError sqref="J6:J97" unlocked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1093-C748-45EB-B9F1-AF63AF149290}">
  <dimension ref="A1:L97"/>
  <sheetViews>
    <sheetView zoomScaleNormal="100" workbookViewId="0">
      <selection activeCell="L49" sqref="L49"/>
    </sheetView>
  </sheetViews>
  <sheetFormatPr baseColWidth="10" defaultRowHeight="15.6" x14ac:dyDescent="0.3"/>
  <cols>
    <col min="1" max="1" width="7.6640625" style="1" bestFit="1" customWidth="1"/>
    <col min="2" max="2" width="11.21875" style="1" bestFit="1" customWidth="1"/>
    <col min="3" max="3" width="6" style="1" bestFit="1" customWidth="1"/>
    <col min="4" max="4" width="4.88671875" style="1" bestFit="1" customWidth="1"/>
    <col min="5" max="5" width="17.109375" style="2" bestFit="1" customWidth="1"/>
    <col min="6" max="7" width="4.5546875" style="2" bestFit="1" customWidth="1"/>
    <col min="8" max="8" width="17.109375" style="1" bestFit="1" customWidth="1"/>
    <col min="9" max="9" width="6.109375" style="1" customWidth="1"/>
    <col min="10" max="10" width="7.77734375" style="1" bestFit="1" customWidth="1"/>
    <col min="11" max="11" width="6.109375" style="1" customWidth="1"/>
    <col min="12" max="16384" width="11.5546875" style="1"/>
  </cols>
  <sheetData>
    <row r="1" spans="1:12" ht="25.8" thickBot="1" x14ac:dyDescent="0.35">
      <c r="A1" s="63" t="s">
        <v>0</v>
      </c>
      <c r="B1" s="64"/>
      <c r="C1" s="64"/>
      <c r="D1" s="64"/>
      <c r="E1" s="64"/>
      <c r="F1" s="64"/>
      <c r="G1" s="64"/>
      <c r="H1" s="65"/>
    </row>
    <row r="2" spans="1:12" ht="16.2" thickBot="1" x14ac:dyDescent="0.35">
      <c r="A2" s="66"/>
      <c r="B2" s="67"/>
      <c r="C2" s="67"/>
      <c r="D2" s="67"/>
      <c r="E2" s="67"/>
      <c r="F2" s="67"/>
      <c r="G2" s="67"/>
      <c r="H2" s="68"/>
    </row>
    <row r="3" spans="1:12" s="2" customFormat="1" ht="16.2" thickBot="1" x14ac:dyDescent="0.35">
      <c r="A3" s="3"/>
      <c r="B3" s="4" t="s">
        <v>1</v>
      </c>
      <c r="C3" s="4" t="s">
        <v>2</v>
      </c>
      <c r="D3" s="4" t="s">
        <v>3</v>
      </c>
      <c r="E3" s="5" t="s">
        <v>4</v>
      </c>
      <c r="F3" s="6" t="s">
        <v>5</v>
      </c>
      <c r="G3" s="6" t="s">
        <v>5</v>
      </c>
      <c r="H3" s="4" t="s">
        <v>6</v>
      </c>
      <c r="J3" s="30" t="s">
        <v>71</v>
      </c>
      <c r="L3" s="2" t="s">
        <v>73</v>
      </c>
    </row>
    <row r="4" spans="1:12" ht="16.2" thickBot="1" x14ac:dyDescent="0.35">
      <c r="A4" s="90" t="s">
        <v>7</v>
      </c>
      <c r="B4" s="7">
        <v>46184</v>
      </c>
      <c r="C4" s="8">
        <v>0.875</v>
      </c>
      <c r="D4" s="9" t="s">
        <v>8</v>
      </c>
      <c r="E4" s="10" t="s">
        <v>9</v>
      </c>
      <c r="F4" s="11">
        <v>2</v>
      </c>
      <c r="G4" s="11">
        <v>0</v>
      </c>
      <c r="H4" s="20" t="s">
        <v>10</v>
      </c>
      <c r="L4" s="1">
        <f>SUM(J:J)</f>
        <v>3</v>
      </c>
    </row>
    <row r="5" spans="1:12" ht="16.2" thickBot="1" x14ac:dyDescent="0.35">
      <c r="A5" s="91"/>
      <c r="B5" s="7">
        <v>46185</v>
      </c>
      <c r="C5" s="8">
        <v>0.16666666666666666</v>
      </c>
      <c r="D5" s="9" t="s">
        <v>8</v>
      </c>
      <c r="E5" s="10" t="s">
        <v>11</v>
      </c>
      <c r="F5" s="11">
        <v>2</v>
      </c>
      <c r="G5" s="11">
        <v>1</v>
      </c>
      <c r="H5" s="20" t="s">
        <v>12</v>
      </c>
    </row>
    <row r="6" spans="1:12" ht="16.2" thickBot="1" x14ac:dyDescent="0.35">
      <c r="A6" s="91"/>
      <c r="B6" s="7">
        <v>46191</v>
      </c>
      <c r="C6" s="8">
        <v>0.75</v>
      </c>
      <c r="D6" s="9" t="s">
        <v>13</v>
      </c>
      <c r="E6" s="10" t="s">
        <v>12</v>
      </c>
      <c r="F6" s="25">
        <v>1</v>
      </c>
      <c r="G6" s="25">
        <v>0</v>
      </c>
      <c r="H6" s="20" t="s">
        <v>10</v>
      </c>
      <c r="J6" s="1" t="str">
        <f>IF(OR(Resultados!F6="",Resultados!G6=""),"",IF(AND(F6=Resultados!F6,G6=Resultados!G6),2,IF(((F6&gt;G6)=(Resultados!F6&gt;Resultados!G6))*((F6&lt;G6)=(Resultados!F6&lt;Resultados!G6)),1,0)))</f>
        <v/>
      </c>
    </row>
    <row r="7" spans="1:12" ht="16.2" thickBot="1" x14ac:dyDescent="0.35">
      <c r="A7" s="91"/>
      <c r="B7" s="7">
        <v>46192</v>
      </c>
      <c r="C7" s="8">
        <v>0.125</v>
      </c>
      <c r="D7" s="9" t="s">
        <v>13</v>
      </c>
      <c r="E7" s="10" t="s">
        <v>9</v>
      </c>
      <c r="F7" s="25">
        <v>2</v>
      </c>
      <c r="G7" s="25">
        <v>2</v>
      </c>
      <c r="H7" s="20" t="s">
        <v>11</v>
      </c>
      <c r="J7" s="1" t="str">
        <f>IF(OR(Resultados!F7="",Resultados!G7=""),"",IF(AND(F7=Resultados!F7,G7=Resultados!G7),2,IF(((F7&gt;G7)=(Resultados!F7&gt;Resultados!G7))*((F7&lt;G7)=(Resultados!F7&lt;Resultados!G7)),1,0)))</f>
        <v/>
      </c>
    </row>
    <row r="8" spans="1:12" ht="16.2" thickBot="1" x14ac:dyDescent="0.35">
      <c r="A8" s="91"/>
      <c r="B8" s="7">
        <v>46198</v>
      </c>
      <c r="C8" s="8">
        <v>0.125</v>
      </c>
      <c r="D8" s="9" t="s">
        <v>14</v>
      </c>
      <c r="E8" s="10" t="s">
        <v>12</v>
      </c>
      <c r="F8" s="25">
        <v>1</v>
      </c>
      <c r="G8" s="25">
        <v>2</v>
      </c>
      <c r="H8" s="20" t="s">
        <v>9</v>
      </c>
      <c r="J8" s="1" t="str">
        <f>IF(OR(Resultados!F8="",Resultados!G8=""),"",IF(AND(F8=Resultados!F8,G8=Resultados!G8),2,IF(((F8&gt;G8)=(Resultados!F8&gt;Resultados!G8))*((F8&lt;G8)=(Resultados!F8&lt;Resultados!G8)),1,0)))</f>
        <v/>
      </c>
    </row>
    <row r="9" spans="1:12" ht="16.2" thickBot="1" x14ac:dyDescent="0.35">
      <c r="A9" s="92"/>
      <c r="B9" s="12">
        <v>46198</v>
      </c>
      <c r="C9" s="13">
        <v>0.125</v>
      </c>
      <c r="D9" s="14" t="s">
        <v>14</v>
      </c>
      <c r="E9" s="15" t="s">
        <v>10</v>
      </c>
      <c r="F9" s="25">
        <v>1</v>
      </c>
      <c r="G9" s="25">
        <v>1</v>
      </c>
      <c r="H9" s="21" t="s">
        <v>11</v>
      </c>
      <c r="J9" s="1" t="str">
        <f>IF(OR(Resultados!F9="",Resultados!G9=""),"",IF(AND(F9=Resultados!F9,G9=Resultados!G9),2,IF(((F9&gt;G9)=(Resultados!F9&gt;Resultados!G9))*((F9&lt;G9)=(Resultados!F9&lt;Resultados!G9)),1,0)))</f>
        <v/>
      </c>
    </row>
    <row r="10" spans="1:12" ht="16.2" thickBot="1" x14ac:dyDescent="0.35">
      <c r="A10" s="17"/>
      <c r="B10" s="18"/>
      <c r="C10" s="18"/>
      <c r="D10" s="18"/>
      <c r="E10" s="18"/>
      <c r="F10" s="18"/>
      <c r="G10" s="18"/>
      <c r="H10" s="22"/>
    </row>
    <row r="11" spans="1:12" ht="16.2" thickBot="1" x14ac:dyDescent="0.35">
      <c r="A11" s="16"/>
      <c r="B11" s="4" t="s">
        <v>1</v>
      </c>
      <c r="C11" s="4" t="s">
        <v>2</v>
      </c>
      <c r="D11" s="4" t="s">
        <v>3</v>
      </c>
      <c r="E11" s="5" t="s">
        <v>4</v>
      </c>
      <c r="F11" s="6" t="s">
        <v>5</v>
      </c>
      <c r="G11" s="6" t="s">
        <v>5</v>
      </c>
      <c r="H11" s="23" t="s">
        <v>6</v>
      </c>
    </row>
    <row r="12" spans="1:12" ht="16.2" thickBot="1" x14ac:dyDescent="0.35">
      <c r="A12" s="93" t="s">
        <v>15</v>
      </c>
      <c r="B12" s="7">
        <v>46185</v>
      </c>
      <c r="C12" s="8">
        <v>0.875</v>
      </c>
      <c r="D12" s="9" t="s">
        <v>8</v>
      </c>
      <c r="E12" s="10" t="s">
        <v>16</v>
      </c>
      <c r="F12" s="11">
        <v>1</v>
      </c>
      <c r="G12" s="11">
        <v>1</v>
      </c>
      <c r="H12" s="21" t="s">
        <v>17</v>
      </c>
    </row>
    <row r="13" spans="1:12" ht="16.2" thickBot="1" x14ac:dyDescent="0.35">
      <c r="A13" s="94"/>
      <c r="B13" s="7">
        <v>46186</v>
      </c>
      <c r="C13" s="8">
        <v>0.875</v>
      </c>
      <c r="D13" s="9" t="s">
        <v>8</v>
      </c>
      <c r="E13" s="10" t="s">
        <v>18</v>
      </c>
      <c r="F13" s="11">
        <v>1</v>
      </c>
      <c r="G13" s="11">
        <v>1</v>
      </c>
      <c r="H13" s="21" t="s">
        <v>19</v>
      </c>
    </row>
    <row r="14" spans="1:12" ht="16.2" thickBot="1" x14ac:dyDescent="0.35">
      <c r="A14" s="94"/>
      <c r="B14" s="7">
        <v>46191</v>
      </c>
      <c r="C14" s="8">
        <v>0.875</v>
      </c>
      <c r="D14" s="9" t="s">
        <v>13</v>
      </c>
      <c r="E14" s="10" t="s">
        <v>19</v>
      </c>
      <c r="F14" s="25">
        <v>0</v>
      </c>
      <c r="G14" s="25">
        <v>0</v>
      </c>
      <c r="H14" s="21" t="s">
        <v>17</v>
      </c>
      <c r="J14" s="1" t="str">
        <f>IF(OR(Resultados!F14="",Resultados!G14=""),"",IF(AND(F14=Resultados!F14,G14=Resultados!G14),2,IF(((F14&gt;G14)=(Resultados!F14&gt;Resultados!G14))*((F14&lt;G14)=(Resultados!F14&lt;Resultados!G14)),1,0)))</f>
        <v/>
      </c>
    </row>
    <row r="15" spans="1:12" ht="16.2" thickBot="1" x14ac:dyDescent="0.35">
      <c r="A15" s="94"/>
      <c r="B15" s="7">
        <v>46192</v>
      </c>
      <c r="C15" s="8">
        <v>0</v>
      </c>
      <c r="D15" s="9" t="s">
        <v>13</v>
      </c>
      <c r="E15" s="10" t="s">
        <v>16</v>
      </c>
      <c r="F15" s="25">
        <v>1</v>
      </c>
      <c r="G15" s="25">
        <v>1</v>
      </c>
      <c r="H15" s="21" t="s">
        <v>18</v>
      </c>
      <c r="J15" s="1" t="str">
        <f>IF(OR(Resultados!F15="",Resultados!G15=""),"",IF(AND(F15=Resultados!F15,G15=Resultados!G15),2,IF(((F15&gt;G15)=(Resultados!F15&gt;Resultados!G15))*((F15&lt;G15)=(Resultados!F15&lt;Resultados!G15)),1,0)))</f>
        <v/>
      </c>
    </row>
    <row r="16" spans="1:12" ht="16.2" thickBot="1" x14ac:dyDescent="0.35">
      <c r="A16" s="94"/>
      <c r="B16" s="7">
        <v>46197</v>
      </c>
      <c r="C16" s="8">
        <v>0.875</v>
      </c>
      <c r="D16" s="9" t="s">
        <v>14</v>
      </c>
      <c r="E16" s="10" t="s">
        <v>19</v>
      </c>
      <c r="F16" s="25">
        <v>1</v>
      </c>
      <c r="G16" s="25">
        <v>1</v>
      </c>
      <c r="H16" s="21" t="s">
        <v>16</v>
      </c>
      <c r="J16" s="1" t="str">
        <f>IF(OR(Resultados!F16="",Resultados!G16=""),"",IF(AND(F16=Resultados!F16,G16=Resultados!G16),2,IF(((F16&gt;G16)=(Resultados!F16&gt;Resultados!G16))*((F16&lt;G16)=(Resultados!F16&lt;Resultados!G16)),1,0)))</f>
        <v/>
      </c>
    </row>
    <row r="17" spans="1:10" ht="16.2" thickBot="1" x14ac:dyDescent="0.35">
      <c r="A17" s="95"/>
      <c r="B17" s="12">
        <v>46197</v>
      </c>
      <c r="C17" s="13">
        <v>0.875</v>
      </c>
      <c r="D17" s="14" t="s">
        <v>14</v>
      </c>
      <c r="E17" s="15" t="s">
        <v>17</v>
      </c>
      <c r="F17" s="25">
        <v>0</v>
      </c>
      <c r="G17" s="25">
        <v>1</v>
      </c>
      <c r="H17" s="21" t="s">
        <v>18</v>
      </c>
      <c r="J17" s="1" t="str">
        <f>IF(OR(Resultados!F17="",Resultados!G17=""),"",IF(AND(F17=Resultados!F17,G17=Resultados!G17),2,IF(((F17&gt;G17)=(Resultados!F17&gt;Resultados!G17))*((F17&lt;G17)=(Resultados!F17&lt;Resultados!G17)),1,0)))</f>
        <v/>
      </c>
    </row>
    <row r="18" spans="1:10" ht="16.2" thickBot="1" x14ac:dyDescent="0.35">
      <c r="A18" s="17"/>
      <c r="B18" s="18"/>
      <c r="C18" s="18"/>
      <c r="D18" s="18"/>
      <c r="E18" s="18"/>
      <c r="F18" s="18"/>
      <c r="G18" s="18"/>
      <c r="H18" s="22"/>
    </row>
    <row r="19" spans="1:10" ht="16.2" thickBot="1" x14ac:dyDescent="0.35">
      <c r="A19" s="16"/>
      <c r="B19" s="4" t="s">
        <v>1</v>
      </c>
      <c r="C19" s="4" t="s">
        <v>2</v>
      </c>
      <c r="D19" s="4" t="s">
        <v>3</v>
      </c>
      <c r="E19" s="5" t="s">
        <v>4</v>
      </c>
      <c r="F19" s="6" t="s">
        <v>5</v>
      </c>
      <c r="G19" s="6" t="s">
        <v>5</v>
      </c>
      <c r="H19" s="23" t="s">
        <v>6</v>
      </c>
    </row>
    <row r="20" spans="1:10" ht="16.2" thickBot="1" x14ac:dyDescent="0.35">
      <c r="A20" s="96" t="s">
        <v>20</v>
      </c>
      <c r="B20" s="7">
        <v>46187</v>
      </c>
      <c r="C20" s="8">
        <v>0</v>
      </c>
      <c r="D20" s="9" t="s">
        <v>8</v>
      </c>
      <c r="E20" s="10" t="s">
        <v>21</v>
      </c>
      <c r="F20" s="11">
        <v>1</v>
      </c>
      <c r="G20" s="11">
        <v>1</v>
      </c>
      <c r="H20" s="21" t="s">
        <v>22</v>
      </c>
    </row>
    <row r="21" spans="1:10" ht="16.2" thickBot="1" x14ac:dyDescent="0.35">
      <c r="A21" s="97"/>
      <c r="B21" s="7">
        <v>46187</v>
      </c>
      <c r="C21" s="8">
        <v>0.125</v>
      </c>
      <c r="D21" s="9" t="s">
        <v>8</v>
      </c>
      <c r="E21" s="10" t="s">
        <v>23</v>
      </c>
      <c r="F21" s="26">
        <v>0</v>
      </c>
      <c r="G21" s="26">
        <v>1</v>
      </c>
      <c r="H21" s="21" t="s">
        <v>24</v>
      </c>
      <c r="J21" s="1">
        <f>IF(OR(Resultados!F21="",Resultados!G21=""),"",IF(AND(F21=Resultados!F21,G21=Resultados!G21),2,IF(((F21&gt;G21)=(Resultados!F21&gt;Resultados!G21))*((F21&lt;G21)=(Resultados!F21&lt;Resultados!G21)),1,0)))</f>
        <v>2</v>
      </c>
    </row>
    <row r="22" spans="1:10" ht="16.2" thickBot="1" x14ac:dyDescent="0.35">
      <c r="A22" s="97"/>
      <c r="B22" s="7">
        <v>46193</v>
      </c>
      <c r="C22" s="8">
        <v>0</v>
      </c>
      <c r="D22" s="9" t="s">
        <v>13</v>
      </c>
      <c r="E22" s="10" t="s">
        <v>24</v>
      </c>
      <c r="F22" s="25">
        <v>1</v>
      </c>
      <c r="G22" s="25">
        <v>2</v>
      </c>
      <c r="H22" s="21" t="s">
        <v>22</v>
      </c>
      <c r="J22" s="1" t="str">
        <f>IF(OR(Resultados!F22="",Resultados!G22=""),"",IF(AND(F22=Resultados!F22,G22=Resultados!G22),2,IF(((F22&gt;G22)=(Resultados!F22&gt;Resultados!G22))*((F22&lt;G22)=(Resultados!F22&lt;Resultados!G22)),1,0)))</f>
        <v/>
      </c>
    </row>
    <row r="23" spans="1:10" ht="16.2" thickBot="1" x14ac:dyDescent="0.35">
      <c r="A23" s="97"/>
      <c r="B23" s="7">
        <v>46193</v>
      </c>
      <c r="C23" s="8">
        <v>0.10416666666666667</v>
      </c>
      <c r="D23" s="9" t="s">
        <v>13</v>
      </c>
      <c r="E23" s="10" t="s">
        <v>21</v>
      </c>
      <c r="F23" s="25">
        <v>3</v>
      </c>
      <c r="G23" s="25">
        <v>1</v>
      </c>
      <c r="H23" s="21" t="s">
        <v>23</v>
      </c>
      <c r="J23" s="1" t="str">
        <f>IF(OR(Resultados!F23="",Resultados!G23=""),"",IF(AND(F23=Resultados!F23,G23=Resultados!G23),2,IF(((F23&gt;G23)=(Resultados!F23&gt;Resultados!G23))*((F23&lt;G23)=(Resultados!F23&lt;Resultados!G23)),1,0)))</f>
        <v/>
      </c>
    </row>
    <row r="24" spans="1:10" ht="16.2" thickBot="1" x14ac:dyDescent="0.35">
      <c r="A24" s="97"/>
      <c r="B24" s="7">
        <v>46198</v>
      </c>
      <c r="C24" s="8">
        <v>0</v>
      </c>
      <c r="D24" s="9" t="s">
        <v>14</v>
      </c>
      <c r="E24" s="10" t="s">
        <v>24</v>
      </c>
      <c r="F24" s="25">
        <v>2</v>
      </c>
      <c r="G24" s="25">
        <v>3</v>
      </c>
      <c r="H24" s="21" t="s">
        <v>21</v>
      </c>
      <c r="J24" s="1" t="str">
        <f>IF(OR(Resultados!F24="",Resultados!G24=""),"",IF(AND(F24=Resultados!F24,G24=Resultados!G24),2,IF(((F24&gt;G24)=(Resultados!F24&gt;Resultados!G24))*((F24&lt;G24)=(Resultados!F24&lt;Resultados!G24)),1,0)))</f>
        <v/>
      </c>
    </row>
    <row r="25" spans="1:10" ht="16.2" thickBot="1" x14ac:dyDescent="0.35">
      <c r="A25" s="98"/>
      <c r="B25" s="12">
        <v>46198</v>
      </c>
      <c r="C25" s="13">
        <v>0</v>
      </c>
      <c r="D25" s="14" t="s">
        <v>14</v>
      </c>
      <c r="E25" s="15" t="s">
        <v>22</v>
      </c>
      <c r="F25" s="25">
        <v>2</v>
      </c>
      <c r="G25" s="25">
        <v>0</v>
      </c>
      <c r="H25" s="21" t="s">
        <v>23</v>
      </c>
      <c r="J25" s="1" t="str">
        <f>IF(OR(Resultados!F25="",Resultados!G25=""),"",IF(AND(F25=Resultados!F25,G25=Resultados!G25),2,IF(((F25&gt;G25)=(Resultados!F25&gt;Resultados!G25))*((F25&lt;G25)=(Resultados!F25&lt;Resultados!G25)),1,0)))</f>
        <v/>
      </c>
    </row>
    <row r="26" spans="1:10" ht="16.2" thickBot="1" x14ac:dyDescent="0.35">
      <c r="A26" s="19"/>
      <c r="B26" s="19"/>
      <c r="C26" s="19"/>
      <c r="D26" s="19"/>
      <c r="E26" s="19"/>
      <c r="F26" s="19"/>
      <c r="G26" s="19"/>
      <c r="H26" s="24"/>
    </row>
    <row r="27" spans="1:10" ht="16.2" thickBot="1" x14ac:dyDescent="0.35">
      <c r="A27" s="16"/>
      <c r="B27" s="4" t="s">
        <v>1</v>
      </c>
      <c r="C27" s="4" t="s">
        <v>2</v>
      </c>
      <c r="D27" s="4" t="s">
        <v>3</v>
      </c>
      <c r="E27" s="5" t="s">
        <v>4</v>
      </c>
      <c r="F27" s="6" t="s">
        <v>5</v>
      </c>
      <c r="G27" s="6" t="s">
        <v>5</v>
      </c>
      <c r="H27" s="23" t="s">
        <v>6</v>
      </c>
    </row>
    <row r="28" spans="1:10" ht="16.2" thickBot="1" x14ac:dyDescent="0.35">
      <c r="A28" s="99" t="s">
        <v>25</v>
      </c>
      <c r="B28" s="7">
        <v>46186</v>
      </c>
      <c r="C28" s="8">
        <v>0.125</v>
      </c>
      <c r="D28" s="9" t="s">
        <v>8</v>
      </c>
      <c r="E28" s="10" t="s">
        <v>26</v>
      </c>
      <c r="F28" s="11">
        <v>4</v>
      </c>
      <c r="G28" s="11">
        <v>1</v>
      </c>
      <c r="H28" s="21" t="s">
        <v>27</v>
      </c>
    </row>
    <row r="29" spans="1:10" ht="16.2" thickBot="1" x14ac:dyDescent="0.35">
      <c r="A29" s="100"/>
      <c r="B29" s="7">
        <v>46187</v>
      </c>
      <c r="C29" s="8">
        <v>0.25</v>
      </c>
      <c r="D29" s="9" t="s">
        <v>8</v>
      </c>
      <c r="E29" s="10" t="s">
        <v>28</v>
      </c>
      <c r="F29" s="26">
        <v>1</v>
      </c>
      <c r="G29" s="26">
        <v>2</v>
      </c>
      <c r="H29" s="21" t="s">
        <v>29</v>
      </c>
      <c r="J29" s="1">
        <f>IF(OR(Resultados!F29="",Resultados!G29=""),"",IF(AND(F29=Resultados!F29,G29=Resultados!G29),2,IF(((F29&gt;G29)=(Resultados!F29&gt;Resultados!G29))*((F29&lt;G29)=(Resultados!F29&lt;Resultados!G29)),1,0)))</f>
        <v>0</v>
      </c>
    </row>
    <row r="30" spans="1:10" ht="16.2" thickBot="1" x14ac:dyDescent="0.35">
      <c r="A30" s="100"/>
      <c r="B30" s="7">
        <v>46192</v>
      </c>
      <c r="C30" s="8">
        <v>0.875</v>
      </c>
      <c r="D30" s="9" t="s">
        <v>13</v>
      </c>
      <c r="E30" s="10" t="s">
        <v>26</v>
      </c>
      <c r="F30" s="25">
        <v>2</v>
      </c>
      <c r="G30" s="25">
        <v>1</v>
      </c>
      <c r="H30" s="21" t="s">
        <v>28</v>
      </c>
      <c r="J30" s="1" t="str">
        <f>IF(OR(Resultados!F30="",Resultados!G30=""),"",IF(AND(F30=Resultados!F30,G30=Resultados!G30),2,IF(((F30&gt;G30)=(Resultados!F30&gt;Resultados!G30))*((F30&lt;G30)=(Resultados!F30&lt;Resultados!G30)),1,0)))</f>
        <v/>
      </c>
    </row>
    <row r="31" spans="1:10" ht="16.2" thickBot="1" x14ac:dyDescent="0.35">
      <c r="A31" s="100"/>
      <c r="B31" s="7">
        <v>46193</v>
      </c>
      <c r="C31" s="8">
        <v>0.20833333333333334</v>
      </c>
      <c r="D31" s="9" t="s">
        <v>13</v>
      </c>
      <c r="E31" s="10" t="s">
        <v>29</v>
      </c>
      <c r="F31" s="25">
        <v>2</v>
      </c>
      <c r="G31" s="25">
        <v>0</v>
      </c>
      <c r="H31" s="21" t="s">
        <v>27</v>
      </c>
      <c r="J31" s="1" t="str">
        <f>IF(OR(Resultados!F31="",Resultados!G31=""),"",IF(AND(F31=Resultados!F31,G31=Resultados!G31),2,IF(((F31&gt;G31)=(Resultados!F31&gt;Resultados!G31))*((F31&lt;G31)=(Resultados!F31&lt;Resultados!G31)),1,0)))</f>
        <v/>
      </c>
    </row>
    <row r="32" spans="1:10" ht="16.2" thickBot="1" x14ac:dyDescent="0.35">
      <c r="A32" s="100"/>
      <c r="B32" s="7">
        <v>46199</v>
      </c>
      <c r="C32" s="8">
        <v>0.16666666666666666</v>
      </c>
      <c r="D32" s="9" t="s">
        <v>14</v>
      </c>
      <c r="E32" s="10" t="s">
        <v>29</v>
      </c>
      <c r="F32" s="25">
        <v>1</v>
      </c>
      <c r="G32" s="25">
        <v>1</v>
      </c>
      <c r="H32" s="21" t="s">
        <v>26</v>
      </c>
      <c r="J32" s="1" t="str">
        <f>IF(OR(Resultados!F32="",Resultados!G32=""),"",IF(AND(F32=Resultados!F32,G32=Resultados!G32),2,IF(((F32&gt;G32)=(Resultados!F32&gt;Resultados!G32))*((F32&lt;G32)=(Resultados!F32&lt;Resultados!G32)),1,0)))</f>
        <v/>
      </c>
    </row>
    <row r="33" spans="1:10" ht="16.2" thickBot="1" x14ac:dyDescent="0.35">
      <c r="A33" s="101"/>
      <c r="B33" s="12">
        <v>46199</v>
      </c>
      <c r="C33" s="13">
        <v>0.16666666666666666</v>
      </c>
      <c r="D33" s="14" t="s">
        <v>14</v>
      </c>
      <c r="E33" s="15" t="s">
        <v>27</v>
      </c>
      <c r="F33" s="25">
        <v>0</v>
      </c>
      <c r="G33" s="25">
        <v>1</v>
      </c>
      <c r="H33" s="21" t="s">
        <v>28</v>
      </c>
      <c r="J33" s="1" t="str">
        <f>IF(OR(Resultados!F33="",Resultados!G33=""),"",IF(AND(F33=Resultados!F33,G33=Resultados!G33),2,IF(((F33&gt;G33)=(Resultados!F33&gt;Resultados!G33))*((F33&lt;G33)=(Resultados!F33&lt;Resultados!G33)),1,0)))</f>
        <v/>
      </c>
    </row>
    <row r="34" spans="1:10" ht="16.2" thickBot="1" x14ac:dyDescent="0.35">
      <c r="A34" s="17"/>
      <c r="B34" s="18"/>
      <c r="C34" s="18"/>
      <c r="D34" s="18"/>
      <c r="E34" s="18"/>
      <c r="F34" s="18"/>
      <c r="G34" s="18"/>
      <c r="H34" s="22"/>
    </row>
    <row r="35" spans="1:10" ht="16.2" thickBot="1" x14ac:dyDescent="0.35">
      <c r="A35" s="16"/>
      <c r="B35" s="4" t="s">
        <v>1</v>
      </c>
      <c r="C35" s="4" t="s">
        <v>2</v>
      </c>
      <c r="D35" s="4" t="s">
        <v>3</v>
      </c>
      <c r="E35" s="5" t="s">
        <v>4</v>
      </c>
      <c r="F35" s="6" t="s">
        <v>5</v>
      </c>
      <c r="G35" s="6" t="s">
        <v>5</v>
      </c>
      <c r="H35" s="23" t="s">
        <v>6</v>
      </c>
    </row>
    <row r="36" spans="1:10" ht="16.2" thickBot="1" x14ac:dyDescent="0.35">
      <c r="A36" s="102" t="s">
        <v>30</v>
      </c>
      <c r="B36" s="7">
        <v>46187</v>
      </c>
      <c r="C36" s="8">
        <v>0.79166666666666663</v>
      </c>
      <c r="D36" s="9" t="s">
        <v>8</v>
      </c>
      <c r="E36" s="10" t="s">
        <v>31</v>
      </c>
      <c r="F36" s="26">
        <v>3</v>
      </c>
      <c r="G36" s="26">
        <v>0</v>
      </c>
      <c r="H36" s="21" t="s">
        <v>32</v>
      </c>
      <c r="J36" s="1">
        <f>IF(OR(Resultados!F36="",Resultados!G36=""),"",IF(AND(F36=Resultados!F36,G36=Resultados!G36),2,IF(((F36&gt;G36)=(Resultados!F36&gt;Resultados!G36))*((F36&lt;G36)=(Resultados!F36&lt;Resultados!G36)),1,0)))</f>
        <v>1</v>
      </c>
    </row>
    <row r="37" spans="1:10" ht="16.2" thickBot="1" x14ac:dyDescent="0.35">
      <c r="A37" s="103"/>
      <c r="B37" s="7">
        <v>46188</v>
      </c>
      <c r="C37" s="8">
        <v>4.1666666666666664E-2</v>
      </c>
      <c r="D37" s="9" t="s">
        <v>8</v>
      </c>
      <c r="E37" s="10" t="s">
        <v>33</v>
      </c>
      <c r="F37" s="26">
        <v>2</v>
      </c>
      <c r="G37" s="26">
        <v>2</v>
      </c>
      <c r="H37" s="21" t="s">
        <v>34</v>
      </c>
      <c r="J37" s="1">
        <f>IF(OR(Resultados!F37="",Resultados!G37=""),"",IF(AND(F37=Resultados!F37,G37=Resultados!G37),2,IF(((F37&gt;G37)=(Resultados!F37&gt;Resultados!G37))*((F37&lt;G37)=(Resultados!F37&lt;Resultados!G37)),1,0)))</f>
        <v>0</v>
      </c>
    </row>
    <row r="38" spans="1:10" ht="16.2" thickBot="1" x14ac:dyDescent="0.35">
      <c r="A38" s="103"/>
      <c r="B38" s="7">
        <v>46193</v>
      </c>
      <c r="C38" s="8">
        <v>0.91666666666666663</v>
      </c>
      <c r="D38" s="9" t="s">
        <v>13</v>
      </c>
      <c r="E38" s="10" t="s">
        <v>31</v>
      </c>
      <c r="F38" s="25">
        <v>3</v>
      </c>
      <c r="G38" s="25">
        <v>1</v>
      </c>
      <c r="H38" s="21" t="s">
        <v>33</v>
      </c>
      <c r="J38" s="1" t="str">
        <f>IF(OR(Resultados!F38="",Resultados!G38=""),"",IF(AND(F38=Resultados!F38,G38=Resultados!G38),2,IF(((F38&gt;G38)=(Resultados!F38&gt;Resultados!G38))*((F38&lt;G38)=(Resultados!F38&lt;Resultados!G38)),1,0)))</f>
        <v/>
      </c>
    </row>
    <row r="39" spans="1:10" ht="16.2" thickBot="1" x14ac:dyDescent="0.35">
      <c r="A39" s="103"/>
      <c r="B39" s="7">
        <v>46194</v>
      </c>
      <c r="C39" s="8">
        <v>8.3333333333333329E-2</v>
      </c>
      <c r="D39" s="9" t="s">
        <v>13</v>
      </c>
      <c r="E39" s="10" t="s">
        <v>34</v>
      </c>
      <c r="F39" s="25">
        <v>1</v>
      </c>
      <c r="G39" s="25">
        <v>1</v>
      </c>
      <c r="H39" s="21" t="s">
        <v>32</v>
      </c>
      <c r="J39" s="1" t="str">
        <f>IF(OR(Resultados!F39="",Resultados!G39=""),"",IF(AND(F39=Resultados!F39,G39=Resultados!G39),2,IF(((F39&gt;G39)=(Resultados!F39&gt;Resultados!G39))*((F39&lt;G39)=(Resultados!F39&lt;Resultados!G39)),1,0)))</f>
        <v/>
      </c>
    </row>
    <row r="40" spans="1:10" ht="16.2" thickBot="1" x14ac:dyDescent="0.35">
      <c r="A40" s="103"/>
      <c r="B40" s="7">
        <v>46198</v>
      </c>
      <c r="C40" s="8">
        <v>0.91666666666666663</v>
      </c>
      <c r="D40" s="9" t="s">
        <v>14</v>
      </c>
      <c r="E40" s="10" t="s">
        <v>32</v>
      </c>
      <c r="F40" s="25">
        <v>0</v>
      </c>
      <c r="G40" s="25">
        <v>0</v>
      </c>
      <c r="H40" s="21" t="s">
        <v>33</v>
      </c>
      <c r="J40" s="1" t="str">
        <f>IF(OR(Resultados!F40="",Resultados!G40=""),"",IF(AND(F40=Resultados!F40,G40=Resultados!G40),2,IF(((F40&gt;G40)=(Resultados!F40&gt;Resultados!G40))*((F40&lt;G40)=(Resultados!F40&lt;Resultados!G40)),1,0)))</f>
        <v/>
      </c>
    </row>
    <row r="41" spans="1:10" ht="16.2" thickBot="1" x14ac:dyDescent="0.35">
      <c r="A41" s="104"/>
      <c r="B41" s="12">
        <v>46198</v>
      </c>
      <c r="C41" s="13">
        <v>0.91666666666666663</v>
      </c>
      <c r="D41" s="14" t="s">
        <v>14</v>
      </c>
      <c r="E41" s="15" t="s">
        <v>34</v>
      </c>
      <c r="F41" s="25">
        <v>1</v>
      </c>
      <c r="G41" s="25">
        <v>2</v>
      </c>
      <c r="H41" s="21" t="s">
        <v>31</v>
      </c>
      <c r="J41" s="1" t="str">
        <f>IF(OR(Resultados!F41="",Resultados!G41=""),"",IF(AND(F41=Resultados!F41,G41=Resultados!G41),2,IF(((F41&gt;G41)=(Resultados!F41&gt;Resultados!G41))*((F41&lt;G41)=(Resultados!F41&lt;Resultados!G41)),1,0)))</f>
        <v/>
      </c>
    </row>
    <row r="42" spans="1:10" ht="16.2" thickBot="1" x14ac:dyDescent="0.35">
      <c r="A42" s="17"/>
      <c r="B42" s="18"/>
      <c r="C42" s="18"/>
      <c r="D42" s="18"/>
      <c r="E42" s="18"/>
      <c r="F42" s="18"/>
      <c r="G42" s="18"/>
      <c r="H42" s="22"/>
    </row>
    <row r="43" spans="1:10" ht="16.2" thickBot="1" x14ac:dyDescent="0.35">
      <c r="A43" s="16"/>
      <c r="B43" s="4" t="s">
        <v>1</v>
      </c>
      <c r="C43" s="4" t="s">
        <v>2</v>
      </c>
      <c r="D43" s="4" t="s">
        <v>3</v>
      </c>
      <c r="E43" s="5" t="s">
        <v>4</v>
      </c>
      <c r="F43" s="6" t="s">
        <v>5</v>
      </c>
      <c r="G43" s="6" t="s">
        <v>5</v>
      </c>
      <c r="H43" s="23" t="s">
        <v>6</v>
      </c>
    </row>
    <row r="44" spans="1:10" ht="16.2" thickBot="1" x14ac:dyDescent="0.35">
      <c r="A44" s="72" t="s">
        <v>35</v>
      </c>
      <c r="B44" s="7">
        <v>46187</v>
      </c>
      <c r="C44" s="8">
        <v>0.91666666666666663</v>
      </c>
      <c r="D44" s="9" t="s">
        <v>8</v>
      </c>
      <c r="E44" s="10" t="s">
        <v>36</v>
      </c>
      <c r="F44" s="26">
        <v>2</v>
      </c>
      <c r="G44" s="26">
        <v>1</v>
      </c>
      <c r="H44" s="21" t="s">
        <v>37</v>
      </c>
      <c r="J44" s="1">
        <f>IF(OR(Resultados!F44="",Resultados!G44=""),"",IF(AND(F44=Resultados!F44,G44=Resultados!G44),2,IF(((F44&gt;G44)=(Resultados!F44&gt;Resultados!G44))*((F44&lt;G44)=(Resultados!F44&lt;Resultados!G44)),1,0)))</f>
        <v>0</v>
      </c>
    </row>
    <row r="45" spans="1:10" ht="16.2" thickBot="1" x14ac:dyDescent="0.35">
      <c r="A45" s="73"/>
      <c r="B45" s="7">
        <v>46188</v>
      </c>
      <c r="C45" s="8">
        <v>0.16666666666666666</v>
      </c>
      <c r="D45" s="9" t="s">
        <v>8</v>
      </c>
      <c r="E45" s="10" t="s">
        <v>38</v>
      </c>
      <c r="F45" s="26">
        <v>1</v>
      </c>
      <c r="G45" s="26">
        <v>1</v>
      </c>
      <c r="H45" s="21" t="s">
        <v>39</v>
      </c>
      <c r="J45" s="1">
        <f>IF(OR(Resultados!F45="",Resultados!G45=""),"",IF(AND(F45=Resultados!F45,G45=Resultados!G45),2,IF(((F45&gt;G45)=(Resultados!F45&gt;Resultados!G45))*((F45&lt;G45)=(Resultados!F45&lt;Resultados!G45)),1,0)))</f>
        <v>0</v>
      </c>
    </row>
    <row r="46" spans="1:10" ht="16.2" thickBot="1" x14ac:dyDescent="0.35">
      <c r="A46" s="73"/>
      <c r="B46" s="7">
        <v>46193</v>
      </c>
      <c r="C46" s="8">
        <v>0.79166666666666663</v>
      </c>
      <c r="D46" s="9" t="s">
        <v>13</v>
      </c>
      <c r="E46" s="10" t="s">
        <v>36</v>
      </c>
      <c r="F46" s="25">
        <v>2</v>
      </c>
      <c r="G46" s="25">
        <v>0</v>
      </c>
      <c r="H46" s="21" t="s">
        <v>38</v>
      </c>
      <c r="J46" s="1" t="str">
        <f>IF(OR(Resultados!F46="",Resultados!G46=""),"",IF(AND(F46=Resultados!F46,G46=Resultados!G46),2,IF(((F46&gt;G46)=(Resultados!F46&gt;Resultados!G46))*((F46&lt;G46)=(Resultados!F46&lt;Resultados!G46)),1,0)))</f>
        <v/>
      </c>
    </row>
    <row r="47" spans="1:10" ht="16.2" thickBot="1" x14ac:dyDescent="0.35">
      <c r="A47" s="73"/>
      <c r="B47" s="7">
        <v>46194</v>
      </c>
      <c r="C47" s="8">
        <v>0.25</v>
      </c>
      <c r="D47" s="9" t="s">
        <v>13</v>
      </c>
      <c r="E47" s="10" t="s">
        <v>39</v>
      </c>
      <c r="F47" s="25">
        <v>1</v>
      </c>
      <c r="G47" s="25">
        <v>1</v>
      </c>
      <c r="H47" s="21" t="s">
        <v>37</v>
      </c>
      <c r="J47" s="1" t="str">
        <f>IF(OR(Resultados!F47="",Resultados!G47=""),"",IF(AND(F47=Resultados!F47,G47=Resultados!G47),2,IF(((F47&gt;G47)=(Resultados!F47&gt;Resultados!G47))*((F47&lt;G47)=(Resultados!F47&lt;Resultados!G47)),1,0)))</f>
        <v/>
      </c>
    </row>
    <row r="48" spans="1:10" ht="16.2" thickBot="1" x14ac:dyDescent="0.35">
      <c r="A48" s="73"/>
      <c r="B48" s="7">
        <v>46199</v>
      </c>
      <c r="C48" s="8">
        <v>4.1666666666666664E-2</v>
      </c>
      <c r="D48" s="9" t="s">
        <v>14</v>
      </c>
      <c r="E48" s="10" t="s">
        <v>37</v>
      </c>
      <c r="F48" s="25">
        <v>1</v>
      </c>
      <c r="G48" s="25">
        <v>1</v>
      </c>
      <c r="H48" s="21" t="s">
        <v>38</v>
      </c>
      <c r="J48" s="1" t="str">
        <f>IF(OR(Resultados!F48="",Resultados!G48=""),"",IF(AND(F48=Resultados!F48,G48=Resultados!G48),2,IF(((F48&gt;G48)=(Resultados!F48&gt;Resultados!G48))*((F48&lt;G48)=(Resultados!F48&lt;Resultados!G48)),1,0)))</f>
        <v/>
      </c>
    </row>
    <row r="49" spans="1:10" ht="16.2" thickBot="1" x14ac:dyDescent="0.35">
      <c r="A49" s="74"/>
      <c r="B49" s="12">
        <v>46199</v>
      </c>
      <c r="C49" s="13">
        <v>4.1666666666666664E-2</v>
      </c>
      <c r="D49" s="14" t="s">
        <v>14</v>
      </c>
      <c r="E49" s="15" t="s">
        <v>39</v>
      </c>
      <c r="F49" s="25">
        <v>0</v>
      </c>
      <c r="G49" s="25">
        <v>2</v>
      </c>
      <c r="H49" s="21" t="s">
        <v>36</v>
      </c>
      <c r="J49" s="1" t="str">
        <f>IF(OR(Resultados!F49="",Resultados!G49=""),"",IF(AND(F49=Resultados!F49,G49=Resultados!G49),2,IF(((F49&gt;G49)=(Resultados!F49&gt;Resultados!G49))*((F49&lt;G49)=(Resultados!F49&lt;Resultados!G49)),1,0)))</f>
        <v/>
      </c>
    </row>
    <row r="50" spans="1:10" ht="16.2" thickBot="1" x14ac:dyDescent="0.35">
      <c r="A50" s="17"/>
      <c r="B50" s="18"/>
      <c r="C50" s="18"/>
      <c r="D50" s="18"/>
      <c r="E50" s="18"/>
      <c r="F50" s="18"/>
      <c r="G50" s="18"/>
      <c r="H50" s="22"/>
    </row>
    <row r="51" spans="1:10" ht="16.2" thickBot="1" x14ac:dyDescent="0.35">
      <c r="A51" s="16"/>
      <c r="B51" s="4" t="s">
        <v>1</v>
      </c>
      <c r="C51" s="4" t="s">
        <v>2</v>
      </c>
      <c r="D51" s="4" t="s">
        <v>3</v>
      </c>
      <c r="E51" s="5" t="s">
        <v>4</v>
      </c>
      <c r="F51" s="6" t="s">
        <v>5</v>
      </c>
      <c r="G51" s="6" t="s">
        <v>5</v>
      </c>
      <c r="H51" s="23" t="s">
        <v>6</v>
      </c>
    </row>
    <row r="52" spans="1:10" ht="16.2" thickBot="1" x14ac:dyDescent="0.35">
      <c r="A52" s="75" t="s">
        <v>40</v>
      </c>
      <c r="B52" s="7">
        <v>46188</v>
      </c>
      <c r="C52" s="8">
        <v>0.875</v>
      </c>
      <c r="D52" s="9" t="s">
        <v>8</v>
      </c>
      <c r="E52" s="10" t="s">
        <v>41</v>
      </c>
      <c r="F52" s="26">
        <v>1</v>
      </c>
      <c r="G52" s="26">
        <v>1</v>
      </c>
      <c r="H52" s="21" t="s">
        <v>42</v>
      </c>
      <c r="J52" s="1" t="str">
        <f>IF(OR(Resultados!F52="",Resultados!G52=""),"",IF(AND(F52=Resultados!F52,G52=Resultados!G52),2,IF(((F52&gt;G52)=(Resultados!F52&gt;Resultados!G52))*((F52&lt;G52)=(Resultados!F52&lt;Resultados!G52)),1,0)))</f>
        <v/>
      </c>
    </row>
    <row r="53" spans="1:10" ht="16.2" thickBot="1" x14ac:dyDescent="0.35">
      <c r="A53" s="76"/>
      <c r="B53" s="7">
        <v>46189</v>
      </c>
      <c r="C53" s="8">
        <v>0.125</v>
      </c>
      <c r="D53" s="9" t="s">
        <v>8</v>
      </c>
      <c r="E53" s="10" t="s">
        <v>43</v>
      </c>
      <c r="F53" s="26">
        <v>0</v>
      </c>
      <c r="G53" s="26">
        <v>0</v>
      </c>
      <c r="H53" s="21" t="s">
        <v>44</v>
      </c>
      <c r="J53" s="1" t="str">
        <f>IF(OR(Resultados!F53="",Resultados!G53=""),"",IF(AND(F53=Resultados!F53,G53=Resultados!G53),2,IF(((F53&gt;G53)=(Resultados!F53&gt;Resultados!G53))*((F53&lt;G53)=(Resultados!F53&lt;Resultados!G53)),1,0)))</f>
        <v/>
      </c>
    </row>
    <row r="54" spans="1:10" ht="16.2" thickBot="1" x14ac:dyDescent="0.35">
      <c r="A54" s="76"/>
      <c r="B54" s="7">
        <v>46194</v>
      </c>
      <c r="C54" s="8">
        <v>0.875</v>
      </c>
      <c r="D54" s="9" t="s">
        <v>13</v>
      </c>
      <c r="E54" s="10" t="s">
        <v>41</v>
      </c>
      <c r="F54" s="25">
        <v>2</v>
      </c>
      <c r="G54" s="25">
        <v>1</v>
      </c>
      <c r="H54" s="21" t="s">
        <v>43</v>
      </c>
      <c r="J54" s="1" t="str">
        <f>IF(OR(Resultados!F54="",Resultados!G54=""),"",IF(AND(F54=Resultados!F54,G54=Resultados!G54),2,IF(((F54&gt;G54)=(Resultados!F54&gt;Resultados!G54))*((F54&lt;G54)=(Resultados!F54&lt;Resultados!G54)),1,0)))</f>
        <v/>
      </c>
    </row>
    <row r="55" spans="1:10" ht="16.2" thickBot="1" x14ac:dyDescent="0.35">
      <c r="A55" s="76"/>
      <c r="B55" s="7">
        <v>46195</v>
      </c>
      <c r="C55" s="8">
        <v>0.125</v>
      </c>
      <c r="D55" s="9" t="s">
        <v>13</v>
      </c>
      <c r="E55" s="10" t="s">
        <v>44</v>
      </c>
      <c r="F55" s="25">
        <v>0</v>
      </c>
      <c r="G55" s="25">
        <v>2</v>
      </c>
      <c r="H55" s="21" t="s">
        <v>42</v>
      </c>
      <c r="J55" s="1" t="str">
        <f>IF(OR(Resultados!F55="",Resultados!G55=""),"",IF(AND(F55=Resultados!F55,G55=Resultados!G55),2,IF(((F55&gt;G55)=(Resultados!F55&gt;Resultados!G55))*((F55&lt;G55)=(Resultados!F55&lt;Resultados!G55)),1,0)))</f>
        <v/>
      </c>
    </row>
    <row r="56" spans="1:10" ht="16.2" thickBot="1" x14ac:dyDescent="0.35">
      <c r="A56" s="76"/>
      <c r="B56" s="7">
        <v>46200</v>
      </c>
      <c r="C56" s="8">
        <v>0.20833333333333334</v>
      </c>
      <c r="D56" s="9" t="s">
        <v>14</v>
      </c>
      <c r="E56" s="10" t="s">
        <v>42</v>
      </c>
      <c r="F56" s="25">
        <v>1</v>
      </c>
      <c r="G56" s="25">
        <v>0</v>
      </c>
      <c r="H56" s="21" t="s">
        <v>43</v>
      </c>
      <c r="J56" s="1" t="str">
        <f>IF(OR(Resultados!F56="",Resultados!G56=""),"",IF(AND(F56=Resultados!F56,G56=Resultados!G56),2,IF(((F56&gt;G56)=(Resultados!F56&gt;Resultados!G56))*((F56&lt;G56)=(Resultados!F56&lt;Resultados!G56)),1,0)))</f>
        <v/>
      </c>
    </row>
    <row r="57" spans="1:10" ht="16.2" thickBot="1" x14ac:dyDescent="0.35">
      <c r="A57" s="77"/>
      <c r="B57" s="12">
        <v>46200</v>
      </c>
      <c r="C57" s="13">
        <v>0.20833333333333334</v>
      </c>
      <c r="D57" s="14" t="s">
        <v>14</v>
      </c>
      <c r="E57" s="15" t="s">
        <v>44</v>
      </c>
      <c r="F57" s="25">
        <v>1</v>
      </c>
      <c r="G57" s="25">
        <v>2</v>
      </c>
      <c r="H57" s="21" t="s">
        <v>41</v>
      </c>
      <c r="J57" s="1" t="str">
        <f>IF(OR(Resultados!F57="",Resultados!G57=""),"",IF(AND(F57=Resultados!F57,G57=Resultados!G57),2,IF(((F57&gt;G57)=(Resultados!F57&gt;Resultados!G57))*((F57&lt;G57)=(Resultados!F57&lt;Resultados!G57)),1,0)))</f>
        <v/>
      </c>
    </row>
    <row r="58" spans="1:10" ht="16.2" thickBot="1" x14ac:dyDescent="0.35">
      <c r="A58" s="17"/>
      <c r="B58" s="18"/>
      <c r="C58" s="18"/>
      <c r="D58" s="18"/>
      <c r="E58" s="18"/>
      <c r="F58" s="18"/>
      <c r="G58" s="18"/>
      <c r="H58" s="22"/>
    </row>
    <row r="59" spans="1:10" ht="16.2" thickBot="1" x14ac:dyDescent="0.35">
      <c r="A59" s="16"/>
      <c r="B59" s="4" t="s">
        <v>1</v>
      </c>
      <c r="C59" s="4" t="s">
        <v>2</v>
      </c>
      <c r="D59" s="4" t="s">
        <v>3</v>
      </c>
      <c r="E59" s="5" t="s">
        <v>4</v>
      </c>
      <c r="F59" s="6" t="s">
        <v>5</v>
      </c>
      <c r="G59" s="6" t="s">
        <v>5</v>
      </c>
      <c r="H59" s="23" t="s">
        <v>6</v>
      </c>
    </row>
    <row r="60" spans="1:10" ht="16.2" thickBot="1" x14ac:dyDescent="0.35">
      <c r="A60" s="78" t="s">
        <v>45</v>
      </c>
      <c r="B60" s="7">
        <v>46188</v>
      </c>
      <c r="C60" s="8">
        <v>0.75</v>
      </c>
      <c r="D60" s="9" t="s">
        <v>8</v>
      </c>
      <c r="E60" s="10" t="s">
        <v>46</v>
      </c>
      <c r="F60" s="26">
        <v>3</v>
      </c>
      <c r="G60" s="26">
        <v>0</v>
      </c>
      <c r="H60" s="21" t="s">
        <v>47</v>
      </c>
      <c r="J60" s="1" t="str">
        <f>IF(OR(Resultados!F60="",Resultados!G60=""),"",IF(AND(F60=Resultados!F60,G60=Resultados!G60),2,IF(((F60&gt;G60)=(Resultados!F60&gt;Resultados!G60))*((F60&lt;G60)=(Resultados!F60&lt;Resultados!G60)),1,0)))</f>
        <v/>
      </c>
    </row>
    <row r="61" spans="1:10" ht="16.2" thickBot="1" x14ac:dyDescent="0.35">
      <c r="A61" s="79"/>
      <c r="B61" s="7">
        <v>46189</v>
      </c>
      <c r="C61" s="8">
        <v>0</v>
      </c>
      <c r="D61" s="9" t="s">
        <v>8</v>
      </c>
      <c r="E61" s="10" t="s">
        <v>48</v>
      </c>
      <c r="F61" s="26">
        <v>1</v>
      </c>
      <c r="G61" s="26">
        <v>2</v>
      </c>
      <c r="H61" s="21" t="s">
        <v>49</v>
      </c>
      <c r="J61" s="1" t="str">
        <f>IF(OR(Resultados!F61="",Resultados!G61=""),"",IF(AND(F61=Resultados!F61,G61=Resultados!G61),2,IF(((F61&gt;G61)=(Resultados!F61&gt;Resultados!G61))*((F61&lt;G61)=(Resultados!F61&lt;Resultados!G61)),1,0)))</f>
        <v/>
      </c>
    </row>
    <row r="62" spans="1:10" ht="16.2" thickBot="1" x14ac:dyDescent="0.35">
      <c r="A62" s="79"/>
      <c r="B62" s="7">
        <v>46194</v>
      </c>
      <c r="C62" s="8">
        <v>0.75</v>
      </c>
      <c r="D62" s="9" t="s">
        <v>13</v>
      </c>
      <c r="E62" s="10" t="s">
        <v>46</v>
      </c>
      <c r="F62" s="25">
        <v>3</v>
      </c>
      <c r="G62" s="25">
        <v>1</v>
      </c>
      <c r="H62" s="21" t="s">
        <v>48</v>
      </c>
      <c r="J62" s="1" t="str">
        <f>IF(OR(Resultados!F62="",Resultados!G62=""),"",IF(AND(F62=Resultados!F62,G62=Resultados!G62),2,IF(((F62&gt;G62)=(Resultados!F62&gt;Resultados!G62))*((F62&lt;G62)=(Resultados!F62&lt;Resultados!G62)),1,0)))</f>
        <v/>
      </c>
    </row>
    <row r="63" spans="1:10" ht="16.2" thickBot="1" x14ac:dyDescent="0.35">
      <c r="A63" s="79"/>
      <c r="B63" s="7">
        <v>46195</v>
      </c>
      <c r="C63" s="8">
        <v>0</v>
      </c>
      <c r="D63" s="9" t="s">
        <v>13</v>
      </c>
      <c r="E63" s="10" t="s">
        <v>49</v>
      </c>
      <c r="F63" s="25">
        <v>2</v>
      </c>
      <c r="G63" s="25">
        <v>0</v>
      </c>
      <c r="H63" s="21" t="s">
        <v>47</v>
      </c>
      <c r="J63" s="1" t="str">
        <f>IF(OR(Resultados!F63="",Resultados!G63=""),"",IF(AND(F63=Resultados!F63,G63=Resultados!G63),2,IF(((F63&gt;G63)=(Resultados!F63&gt;Resultados!G63))*((F63&lt;G63)=(Resultados!F63&lt;Resultados!G63)),1,0)))</f>
        <v/>
      </c>
    </row>
    <row r="64" spans="1:10" ht="16.2" thickBot="1" x14ac:dyDescent="0.35">
      <c r="A64" s="79"/>
      <c r="B64" s="7">
        <v>46200</v>
      </c>
      <c r="C64" s="8">
        <v>8.3333333333333329E-2</v>
      </c>
      <c r="D64" s="9" t="s">
        <v>14</v>
      </c>
      <c r="E64" s="10" t="s">
        <v>47</v>
      </c>
      <c r="F64" s="25">
        <v>0</v>
      </c>
      <c r="G64" s="25">
        <v>0</v>
      </c>
      <c r="H64" s="21" t="s">
        <v>48</v>
      </c>
      <c r="J64" s="1" t="str">
        <f>IF(OR(Resultados!F64="",Resultados!G64=""),"",IF(AND(F64=Resultados!F64,G64=Resultados!G64),2,IF(((F64&gt;G64)=(Resultados!F64&gt;Resultados!G64))*((F64&lt;G64)=(Resultados!F64&lt;Resultados!G64)),1,0)))</f>
        <v/>
      </c>
    </row>
    <row r="65" spans="1:10" ht="16.2" thickBot="1" x14ac:dyDescent="0.35">
      <c r="A65" s="80"/>
      <c r="B65" s="12">
        <v>46200</v>
      </c>
      <c r="C65" s="13">
        <v>8.3333333333333329E-2</v>
      </c>
      <c r="D65" s="14" t="s">
        <v>14</v>
      </c>
      <c r="E65" s="15" t="s">
        <v>49</v>
      </c>
      <c r="F65" s="25">
        <v>2</v>
      </c>
      <c r="G65" s="25">
        <v>2</v>
      </c>
      <c r="H65" s="21" t="s">
        <v>46</v>
      </c>
      <c r="J65" s="1" t="str">
        <f>IF(OR(Resultados!F65="",Resultados!G65=""),"",IF(AND(F65=Resultados!F65,G65=Resultados!G65),2,IF(((F65&gt;G65)=(Resultados!F65&gt;Resultados!G65))*((F65&lt;G65)=(Resultados!F65&lt;Resultados!G65)),1,0)))</f>
        <v/>
      </c>
    </row>
    <row r="66" spans="1:10" ht="16.2" thickBot="1" x14ac:dyDescent="0.35">
      <c r="A66" s="17"/>
      <c r="B66" s="18"/>
      <c r="C66" s="18"/>
      <c r="D66" s="18"/>
      <c r="E66" s="18"/>
      <c r="F66" s="18"/>
      <c r="G66" s="18"/>
      <c r="H66" s="22"/>
    </row>
    <row r="67" spans="1:10" ht="16.2" thickBot="1" x14ac:dyDescent="0.35">
      <c r="A67" s="16"/>
      <c r="B67" s="4" t="s">
        <v>1</v>
      </c>
      <c r="C67" s="4" t="s">
        <v>2</v>
      </c>
      <c r="D67" s="4" t="s">
        <v>3</v>
      </c>
      <c r="E67" s="5" t="s">
        <v>4</v>
      </c>
      <c r="F67" s="6" t="s">
        <v>5</v>
      </c>
      <c r="G67" s="6" t="s">
        <v>5</v>
      </c>
      <c r="H67" s="23" t="s">
        <v>6</v>
      </c>
    </row>
    <row r="68" spans="1:10" ht="16.2" thickBot="1" x14ac:dyDescent="0.35">
      <c r="A68" s="81" t="s">
        <v>50</v>
      </c>
      <c r="B68" s="7">
        <v>46189</v>
      </c>
      <c r="C68" s="8">
        <v>0.875</v>
      </c>
      <c r="D68" s="9" t="s">
        <v>8</v>
      </c>
      <c r="E68" s="10" t="s">
        <v>51</v>
      </c>
      <c r="F68" s="26">
        <v>2</v>
      </c>
      <c r="G68" s="26">
        <v>1</v>
      </c>
      <c r="H68" s="21" t="s">
        <v>52</v>
      </c>
      <c r="J68" s="1" t="str">
        <f>IF(OR(Resultados!F68="",Resultados!G68=""),"",IF(AND(F68=Resultados!F68,G68=Resultados!G68),2,IF(((F68&gt;G68)=(Resultados!F68&gt;Resultados!G68))*((F68&lt;G68)=(Resultados!F68&lt;Resultados!G68)),1,0)))</f>
        <v/>
      </c>
    </row>
    <row r="69" spans="1:10" ht="16.2" thickBot="1" x14ac:dyDescent="0.35">
      <c r="A69" s="82"/>
      <c r="B69" s="7">
        <v>46190</v>
      </c>
      <c r="C69" s="8">
        <v>0</v>
      </c>
      <c r="D69" s="9" t="s">
        <v>8</v>
      </c>
      <c r="E69" s="10" t="s">
        <v>53</v>
      </c>
      <c r="F69" s="26">
        <v>0</v>
      </c>
      <c r="G69" s="26">
        <v>2</v>
      </c>
      <c r="H69" s="21" t="s">
        <v>54</v>
      </c>
      <c r="J69" s="1" t="str">
        <f>IF(OR(Resultados!F69="",Resultados!G69=""),"",IF(AND(F69=Resultados!F69,G69=Resultados!G69),2,IF(((F69&gt;G69)=(Resultados!F69&gt;Resultados!G69))*((F69&lt;G69)=(Resultados!F69&lt;Resultados!G69)),1,0)))</f>
        <v/>
      </c>
    </row>
    <row r="70" spans="1:10" ht="16.2" thickBot="1" x14ac:dyDescent="0.35">
      <c r="A70" s="82"/>
      <c r="B70" s="7">
        <v>46195</v>
      </c>
      <c r="C70" s="8">
        <v>0.95833333333333337</v>
      </c>
      <c r="D70" s="9" t="s">
        <v>13</v>
      </c>
      <c r="E70" s="10" t="s">
        <v>51</v>
      </c>
      <c r="F70" s="25">
        <v>2</v>
      </c>
      <c r="G70" s="25">
        <v>0</v>
      </c>
      <c r="H70" s="21" t="s">
        <v>53</v>
      </c>
      <c r="J70" s="1" t="str">
        <f>IF(OR(Resultados!F70="",Resultados!G70=""),"",IF(AND(F70=Resultados!F70,G70=Resultados!G70),2,IF(((F70&gt;G70)=(Resultados!F70&gt;Resultados!G70))*((F70&lt;G70)=(Resultados!F70&lt;Resultados!G70)),1,0)))</f>
        <v/>
      </c>
    </row>
    <row r="71" spans="1:10" ht="16.2" thickBot="1" x14ac:dyDescent="0.35">
      <c r="A71" s="82"/>
      <c r="B71" s="7">
        <v>46196</v>
      </c>
      <c r="C71" s="8">
        <v>8.3333333333333329E-2</v>
      </c>
      <c r="D71" s="9" t="s">
        <v>13</v>
      </c>
      <c r="E71" s="10" t="s">
        <v>54</v>
      </c>
      <c r="F71" s="25">
        <v>2</v>
      </c>
      <c r="G71" s="25">
        <v>1</v>
      </c>
      <c r="H71" s="21" t="s">
        <v>52</v>
      </c>
      <c r="J71" s="1" t="str">
        <f>IF(OR(Resultados!F71="",Resultados!G71=""),"",IF(AND(F71=Resultados!F71,G71=Resultados!G71),2,IF(((F71&gt;G71)=(Resultados!F71&gt;Resultados!G71))*((F71&lt;G71)=(Resultados!F71&lt;Resultados!G71)),1,0)))</f>
        <v/>
      </c>
    </row>
    <row r="72" spans="1:10" ht="16.2" thickBot="1" x14ac:dyDescent="0.35">
      <c r="A72" s="82"/>
      <c r="B72" s="7">
        <v>46199</v>
      </c>
      <c r="C72" s="8">
        <v>0.875</v>
      </c>
      <c r="D72" s="9" t="s">
        <v>14</v>
      </c>
      <c r="E72" s="10" t="s">
        <v>54</v>
      </c>
      <c r="F72" s="25">
        <v>3</v>
      </c>
      <c r="G72" s="25">
        <v>3</v>
      </c>
      <c r="H72" s="21" t="s">
        <v>51</v>
      </c>
      <c r="J72" s="1" t="str">
        <f>IF(OR(Resultados!F72="",Resultados!G72=""),"",IF(AND(F72=Resultados!F72,G72=Resultados!G72),2,IF(((F72&gt;G72)=(Resultados!F72&gt;Resultados!G72))*((F72&lt;G72)=(Resultados!F72&lt;Resultados!G72)),1,0)))</f>
        <v/>
      </c>
    </row>
    <row r="73" spans="1:10" ht="16.2" thickBot="1" x14ac:dyDescent="0.35">
      <c r="A73" s="83"/>
      <c r="B73" s="12">
        <v>46199</v>
      </c>
      <c r="C73" s="13">
        <v>0.875</v>
      </c>
      <c r="D73" s="14" t="s">
        <v>14</v>
      </c>
      <c r="E73" s="15" t="s">
        <v>52</v>
      </c>
      <c r="F73" s="25">
        <v>1</v>
      </c>
      <c r="G73" s="25">
        <v>1</v>
      </c>
      <c r="H73" s="21" t="s">
        <v>53</v>
      </c>
      <c r="J73" s="1" t="str">
        <f>IF(OR(Resultados!F73="",Resultados!G73=""),"",IF(AND(F73=Resultados!F73,G73=Resultados!G73),2,IF(((F73&gt;G73)=(Resultados!F73&gt;Resultados!G73))*((F73&lt;G73)=(Resultados!F73&lt;Resultados!G73)),1,0)))</f>
        <v/>
      </c>
    </row>
    <row r="74" spans="1:10" ht="16.2" thickBot="1" x14ac:dyDescent="0.35">
      <c r="A74" s="17"/>
      <c r="B74" s="18"/>
      <c r="C74" s="18"/>
      <c r="D74" s="18"/>
      <c r="E74" s="18"/>
      <c r="F74" s="18"/>
      <c r="G74" s="18"/>
      <c r="H74" s="22"/>
    </row>
    <row r="75" spans="1:10" ht="16.2" thickBot="1" x14ac:dyDescent="0.35">
      <c r="A75" s="16"/>
      <c r="B75" s="4" t="s">
        <v>1</v>
      </c>
      <c r="C75" s="4" t="s">
        <v>2</v>
      </c>
      <c r="D75" s="4" t="s">
        <v>3</v>
      </c>
      <c r="E75" s="5" t="s">
        <v>4</v>
      </c>
      <c r="F75" s="6" t="s">
        <v>5</v>
      </c>
      <c r="G75" s="6" t="s">
        <v>5</v>
      </c>
      <c r="H75" s="23" t="s">
        <v>6</v>
      </c>
    </row>
    <row r="76" spans="1:10" ht="16.2" thickBot="1" x14ac:dyDescent="0.35">
      <c r="A76" s="84" t="s">
        <v>55</v>
      </c>
      <c r="B76" s="7">
        <v>46190</v>
      </c>
      <c r="C76" s="8">
        <v>0.125</v>
      </c>
      <c r="D76" s="9" t="s">
        <v>8</v>
      </c>
      <c r="E76" s="10" t="s">
        <v>56</v>
      </c>
      <c r="F76" s="26">
        <v>2</v>
      </c>
      <c r="G76" s="26">
        <v>0</v>
      </c>
      <c r="H76" s="21" t="s">
        <v>57</v>
      </c>
      <c r="J76" s="1" t="str">
        <f>IF(OR(Resultados!F76="",Resultados!G76=""),"",IF(AND(F76=Resultados!F76,G76=Resultados!G76),2,IF(((F76&gt;G76)=(Resultados!F76&gt;Resultados!G76))*((F76&lt;G76)=(Resultados!F76&lt;Resultados!G76)),1,0)))</f>
        <v/>
      </c>
    </row>
    <row r="77" spans="1:10" ht="16.2" thickBot="1" x14ac:dyDescent="0.35">
      <c r="A77" s="85"/>
      <c r="B77" s="7">
        <v>46190</v>
      </c>
      <c r="C77" s="8">
        <v>0.25</v>
      </c>
      <c r="D77" s="9" t="s">
        <v>8</v>
      </c>
      <c r="E77" s="10" t="s">
        <v>58</v>
      </c>
      <c r="F77" s="26">
        <v>1</v>
      </c>
      <c r="G77" s="26">
        <v>0</v>
      </c>
      <c r="H77" s="21" t="s">
        <v>59</v>
      </c>
      <c r="J77" s="1" t="str">
        <f>IF(OR(Resultados!F77="",Resultados!G77=""),"",IF(AND(F77=Resultados!F77,G77=Resultados!G77),2,IF(((F77&gt;G77)=(Resultados!F77&gt;Resultados!G77))*((F77&lt;G77)=(Resultados!F77&lt;Resultados!G77)),1,0)))</f>
        <v/>
      </c>
    </row>
    <row r="78" spans="1:10" ht="16.2" thickBot="1" x14ac:dyDescent="0.35">
      <c r="A78" s="85"/>
      <c r="B78" s="7">
        <v>46195</v>
      </c>
      <c r="C78" s="8">
        <v>0.79166666666666663</v>
      </c>
      <c r="D78" s="9" t="s">
        <v>13</v>
      </c>
      <c r="E78" s="10" t="s">
        <v>56</v>
      </c>
      <c r="F78" s="25">
        <v>2</v>
      </c>
      <c r="G78" s="25">
        <v>1</v>
      </c>
      <c r="H78" s="21" t="s">
        <v>58</v>
      </c>
      <c r="J78" s="1" t="str">
        <f>IF(OR(Resultados!F78="",Resultados!G78=""),"",IF(AND(F78=Resultados!F78,G78=Resultados!G78),2,IF(((F78&gt;G78)=(Resultados!F78&gt;Resultados!G78))*((F78&lt;G78)=(Resultados!F78&lt;Resultados!G78)),1,0)))</f>
        <v/>
      </c>
    </row>
    <row r="79" spans="1:10" ht="16.2" thickBot="1" x14ac:dyDescent="0.35">
      <c r="A79" s="85"/>
      <c r="B79" s="7">
        <v>46196</v>
      </c>
      <c r="C79" s="8">
        <v>0.20833333333333334</v>
      </c>
      <c r="D79" s="9" t="s">
        <v>13</v>
      </c>
      <c r="E79" s="10" t="s">
        <v>59</v>
      </c>
      <c r="F79" s="25">
        <v>1</v>
      </c>
      <c r="G79" s="25">
        <v>1</v>
      </c>
      <c r="H79" s="21" t="s">
        <v>57</v>
      </c>
      <c r="J79" s="1" t="str">
        <f>IF(OR(Resultados!F79="",Resultados!G79=""),"",IF(AND(F79=Resultados!F79,G79=Resultados!G79),2,IF(((F79&gt;G79)=(Resultados!F79&gt;Resultados!G79))*((F79&lt;G79)=(Resultados!F79&lt;Resultados!G79)),1,0)))</f>
        <v/>
      </c>
    </row>
    <row r="80" spans="1:10" ht="16.2" thickBot="1" x14ac:dyDescent="0.35">
      <c r="A80" s="85"/>
      <c r="B80" s="7">
        <v>46201</v>
      </c>
      <c r="C80" s="8">
        <v>0.16666666666666666</v>
      </c>
      <c r="D80" s="9" t="s">
        <v>14</v>
      </c>
      <c r="E80" s="10" t="s">
        <v>57</v>
      </c>
      <c r="F80" s="25">
        <v>1</v>
      </c>
      <c r="G80" s="25">
        <v>2</v>
      </c>
      <c r="H80" s="21" t="s">
        <v>58</v>
      </c>
      <c r="J80" s="1" t="str">
        <f>IF(OR(Resultados!F80="",Resultados!G80=""),"",IF(AND(F80=Resultados!F80,G80=Resultados!G80),2,IF(((F80&gt;G80)=(Resultados!F80&gt;Resultados!G80))*((F80&lt;G80)=(Resultados!F80&lt;Resultados!G80)),1,0)))</f>
        <v/>
      </c>
    </row>
    <row r="81" spans="1:10" ht="16.2" thickBot="1" x14ac:dyDescent="0.35">
      <c r="A81" s="86"/>
      <c r="B81" s="12">
        <v>46201</v>
      </c>
      <c r="C81" s="13">
        <v>0.16666666666666666</v>
      </c>
      <c r="D81" s="14" t="s">
        <v>14</v>
      </c>
      <c r="E81" s="15" t="s">
        <v>59</v>
      </c>
      <c r="F81" s="25">
        <v>2</v>
      </c>
      <c r="G81" s="25">
        <v>3</v>
      </c>
      <c r="H81" s="21" t="s">
        <v>56</v>
      </c>
      <c r="J81" s="1" t="str">
        <f>IF(OR(Resultados!F81="",Resultados!G81=""),"",IF(AND(F81=Resultados!F81,G81=Resultados!G81),2,IF(((F81&gt;G81)=(Resultados!F81&gt;Resultados!G81))*((F81&lt;G81)=(Resultados!F81&lt;Resultados!G81)),1,0)))</f>
        <v/>
      </c>
    </row>
    <row r="82" spans="1:10" ht="14.4" customHeight="1" thickBot="1" x14ac:dyDescent="0.35">
      <c r="A82" s="19"/>
      <c r="B82" s="19"/>
      <c r="C82" s="19"/>
      <c r="D82" s="19"/>
      <c r="E82" s="19"/>
      <c r="F82" s="19"/>
      <c r="G82" s="19"/>
      <c r="H82" s="24"/>
    </row>
    <row r="83" spans="1:10" ht="16.2" thickBot="1" x14ac:dyDescent="0.35">
      <c r="A83" s="16"/>
      <c r="B83" s="4" t="s">
        <v>1</v>
      </c>
      <c r="C83" s="4" t="s">
        <v>2</v>
      </c>
      <c r="D83" s="4" t="s">
        <v>3</v>
      </c>
      <c r="E83" s="5" t="s">
        <v>4</v>
      </c>
      <c r="F83" s="6" t="s">
        <v>5</v>
      </c>
      <c r="G83" s="6" t="s">
        <v>5</v>
      </c>
      <c r="H83" s="23" t="s">
        <v>6</v>
      </c>
    </row>
    <row r="84" spans="1:10" ht="16.2" thickBot="1" x14ac:dyDescent="0.35">
      <c r="A84" s="87" t="s">
        <v>60</v>
      </c>
      <c r="B84" s="7">
        <v>46190</v>
      </c>
      <c r="C84" s="8">
        <v>0.79166666666666663</v>
      </c>
      <c r="D84" s="9" t="s">
        <v>8</v>
      </c>
      <c r="E84" s="10" t="s">
        <v>61</v>
      </c>
      <c r="F84" s="26">
        <v>3</v>
      </c>
      <c r="G84" s="26">
        <v>0</v>
      </c>
      <c r="H84" s="21" t="s">
        <v>62</v>
      </c>
      <c r="J84" s="1" t="str">
        <f>IF(OR(Resultados!F84="",Resultados!G84=""),"",IF(AND(F84=Resultados!F84,G84=Resultados!G84),2,IF(((F84&gt;G84)=(Resultados!F84&gt;Resultados!G84))*((F84&lt;G84)=(Resultados!F84&lt;Resultados!G84)),1,0)))</f>
        <v/>
      </c>
    </row>
    <row r="85" spans="1:10" ht="16.2" thickBot="1" x14ac:dyDescent="0.35">
      <c r="A85" s="88"/>
      <c r="B85" s="7">
        <v>46191</v>
      </c>
      <c r="C85" s="8">
        <v>0.16666666666666666</v>
      </c>
      <c r="D85" s="9" t="s">
        <v>8</v>
      </c>
      <c r="E85" s="10" t="s">
        <v>63</v>
      </c>
      <c r="F85" s="26">
        <v>0</v>
      </c>
      <c r="G85" s="26">
        <v>1</v>
      </c>
      <c r="H85" s="21" t="s">
        <v>64</v>
      </c>
      <c r="J85" s="1" t="str">
        <f>IF(OR(Resultados!F85="",Resultados!G85=""),"",IF(AND(F85=Resultados!F85,G85=Resultados!G85),2,IF(((F85&gt;G85)=(Resultados!F85&gt;Resultados!G85))*((F85&lt;G85)=(Resultados!F85&lt;Resultados!G85)),1,0)))</f>
        <v/>
      </c>
    </row>
    <row r="86" spans="1:10" ht="16.2" thickBot="1" x14ac:dyDescent="0.35">
      <c r="A86" s="88"/>
      <c r="B86" s="7">
        <v>46196</v>
      </c>
      <c r="C86" s="8">
        <v>0.79166666666666663</v>
      </c>
      <c r="D86" s="9" t="s">
        <v>13</v>
      </c>
      <c r="E86" s="10" t="s">
        <v>61</v>
      </c>
      <c r="F86" s="25">
        <v>2</v>
      </c>
      <c r="G86" s="25">
        <v>0</v>
      </c>
      <c r="H86" s="21" t="s">
        <v>63</v>
      </c>
      <c r="J86" s="1" t="str">
        <f>IF(OR(Resultados!F86="",Resultados!G86=""),"",IF(AND(F86=Resultados!F86,G86=Resultados!G86),2,IF(((F86&gt;G86)=(Resultados!F86&gt;Resultados!G86))*((F86&lt;G86)=(Resultados!F86&lt;Resultados!G86)),1,0)))</f>
        <v/>
      </c>
    </row>
    <row r="87" spans="1:10" ht="16.2" thickBot="1" x14ac:dyDescent="0.35">
      <c r="A87" s="88"/>
      <c r="B87" s="7">
        <v>46197</v>
      </c>
      <c r="C87" s="8">
        <v>0.16666666666666666</v>
      </c>
      <c r="D87" s="9" t="s">
        <v>13</v>
      </c>
      <c r="E87" s="10" t="s">
        <v>64</v>
      </c>
      <c r="F87" s="25">
        <v>1</v>
      </c>
      <c r="G87" s="25">
        <v>0</v>
      </c>
      <c r="H87" s="21" t="s">
        <v>62</v>
      </c>
      <c r="J87" s="1" t="str">
        <f>IF(OR(Resultados!F87="",Resultados!G87=""),"",IF(AND(F87=Resultados!F87,G87=Resultados!G87),2,IF(((F87&gt;G87)=(Resultados!F87&gt;Resultados!G87))*((F87&lt;G87)=(Resultados!F87&lt;Resultados!G87)),1,0)))</f>
        <v/>
      </c>
    </row>
    <row r="88" spans="1:10" ht="16.2" thickBot="1" x14ac:dyDescent="0.35">
      <c r="A88" s="88"/>
      <c r="B88" s="7">
        <v>46201</v>
      </c>
      <c r="C88" s="8">
        <v>6.25E-2</v>
      </c>
      <c r="D88" s="9" t="s">
        <v>14</v>
      </c>
      <c r="E88" s="10" t="s">
        <v>64</v>
      </c>
      <c r="F88" s="25">
        <v>2</v>
      </c>
      <c r="G88" s="25">
        <v>3</v>
      </c>
      <c r="H88" s="21" t="s">
        <v>61</v>
      </c>
      <c r="J88" s="1" t="str">
        <f>IF(OR(Resultados!F88="",Resultados!G88=""),"",IF(AND(F88=Resultados!F88,G88=Resultados!G88),2,IF(((F88&gt;G88)=(Resultados!F88&gt;Resultados!G88))*((F88&lt;G88)=(Resultados!F88&lt;Resultados!G88)),1,0)))</f>
        <v/>
      </c>
    </row>
    <row r="89" spans="1:10" ht="16.2" thickBot="1" x14ac:dyDescent="0.35">
      <c r="A89" s="89"/>
      <c r="B89" s="12">
        <v>46201</v>
      </c>
      <c r="C89" s="13">
        <v>6.25E-2</v>
      </c>
      <c r="D89" s="14" t="s">
        <v>14</v>
      </c>
      <c r="E89" s="15" t="s">
        <v>62</v>
      </c>
      <c r="F89" s="25">
        <v>1</v>
      </c>
      <c r="G89" s="25">
        <v>1</v>
      </c>
      <c r="H89" s="21" t="s">
        <v>63</v>
      </c>
      <c r="J89" s="1" t="str">
        <f>IF(OR(Resultados!F89="",Resultados!G89=""),"",IF(AND(F89=Resultados!F89,G89=Resultados!G89),2,IF(((F89&gt;G89)=(Resultados!F89&gt;Resultados!G89))*((F89&lt;G89)=(Resultados!F89&lt;Resultados!G89)),1,0)))</f>
        <v/>
      </c>
    </row>
    <row r="90" spans="1:10" ht="16.2" thickBot="1" x14ac:dyDescent="0.35">
      <c r="A90" s="17"/>
      <c r="B90" s="18"/>
      <c r="C90" s="18"/>
      <c r="D90" s="18"/>
      <c r="E90" s="18"/>
      <c r="F90" s="18"/>
      <c r="G90" s="18"/>
      <c r="H90" s="22"/>
    </row>
    <row r="91" spans="1:10" ht="16.2" thickBot="1" x14ac:dyDescent="0.35">
      <c r="A91" s="16"/>
      <c r="B91" s="4" t="s">
        <v>1</v>
      </c>
      <c r="C91" s="4" t="s">
        <v>2</v>
      </c>
      <c r="D91" s="4" t="s">
        <v>3</v>
      </c>
      <c r="E91" s="5" t="s">
        <v>4</v>
      </c>
      <c r="F91" s="6" t="s">
        <v>5</v>
      </c>
      <c r="G91" s="6" t="s">
        <v>5</v>
      </c>
      <c r="H91" s="23" t="s">
        <v>6</v>
      </c>
    </row>
    <row r="92" spans="1:10" ht="16.2" thickBot="1" x14ac:dyDescent="0.35">
      <c r="A92" s="69" t="s">
        <v>65</v>
      </c>
      <c r="B92" s="7">
        <v>46190</v>
      </c>
      <c r="C92" s="8">
        <v>0.91666666666666663</v>
      </c>
      <c r="D92" s="9" t="s">
        <v>8</v>
      </c>
      <c r="E92" s="10" t="s">
        <v>66</v>
      </c>
      <c r="F92" s="26">
        <v>2</v>
      </c>
      <c r="G92" s="26">
        <v>1</v>
      </c>
      <c r="H92" s="21" t="s">
        <v>67</v>
      </c>
      <c r="J92" s="1" t="str">
        <f>IF(OR(Resultados!F92="",Resultados!G92=""),"",IF(AND(F92=Resultados!F92,G92=Resultados!G92),2,IF(((F92&gt;G92)=(Resultados!F92&gt;Resultados!G92))*((F92&lt;G92)=(Resultados!F92&lt;Resultados!G92)),1,0)))</f>
        <v/>
      </c>
    </row>
    <row r="93" spans="1:10" ht="16.2" thickBot="1" x14ac:dyDescent="0.35">
      <c r="A93" s="70"/>
      <c r="B93" s="7">
        <v>46191</v>
      </c>
      <c r="C93" s="8">
        <v>4.1666666666666664E-2</v>
      </c>
      <c r="D93" s="9" t="s">
        <v>8</v>
      </c>
      <c r="E93" s="10" t="s">
        <v>68</v>
      </c>
      <c r="F93" s="26">
        <v>0</v>
      </c>
      <c r="G93" s="26">
        <v>1</v>
      </c>
      <c r="H93" s="21" t="s">
        <v>69</v>
      </c>
      <c r="J93" s="1" t="str">
        <f>IF(OR(Resultados!F93="",Resultados!G93=""),"",IF(AND(F93=Resultados!F93,G93=Resultados!G93),2,IF(((F93&gt;G93)=(Resultados!F93&gt;Resultados!G93))*((F93&lt;G93)=(Resultados!F93&lt;Resultados!G93)),1,0)))</f>
        <v/>
      </c>
    </row>
    <row r="94" spans="1:10" ht="16.2" thickBot="1" x14ac:dyDescent="0.35">
      <c r="A94" s="70"/>
      <c r="B94" s="7">
        <v>46196</v>
      </c>
      <c r="C94" s="8">
        <v>0.91666666666666663</v>
      </c>
      <c r="D94" s="9" t="s">
        <v>13</v>
      </c>
      <c r="E94" s="10" t="s">
        <v>66</v>
      </c>
      <c r="F94" s="25">
        <v>2</v>
      </c>
      <c r="G94" s="25">
        <v>0</v>
      </c>
      <c r="H94" s="21" t="s">
        <v>68</v>
      </c>
      <c r="J94" s="1" t="str">
        <f>IF(OR(Resultados!F94="",Resultados!G94=""),"",IF(AND(F94=Resultados!F94,G94=Resultados!G94),2,IF(((F94&gt;G94)=(Resultados!F94&gt;Resultados!G94))*((F94&lt;G94)=(Resultados!F94&lt;Resultados!G94)),1,0)))</f>
        <v/>
      </c>
    </row>
    <row r="95" spans="1:10" ht="16.2" thickBot="1" x14ac:dyDescent="0.35">
      <c r="A95" s="70"/>
      <c r="B95" s="7">
        <v>46197</v>
      </c>
      <c r="C95" s="8">
        <v>4.1666666666666664E-2</v>
      </c>
      <c r="D95" s="9" t="s">
        <v>13</v>
      </c>
      <c r="E95" s="10" t="s">
        <v>69</v>
      </c>
      <c r="F95" s="25">
        <v>1</v>
      </c>
      <c r="G95" s="25">
        <v>2</v>
      </c>
      <c r="H95" s="21" t="s">
        <v>67</v>
      </c>
      <c r="J95" s="1" t="str">
        <f>IF(OR(Resultados!F95="",Resultados!G95=""),"",IF(AND(F95=Resultados!F95,G95=Resultados!G95),2,IF(((F95&gt;G95)=(Resultados!F95&gt;Resultados!G95))*((F95&lt;G95)=(Resultados!F95&lt;Resultados!G95)),1,0)))</f>
        <v/>
      </c>
    </row>
    <row r="96" spans="1:10" ht="16.2" thickBot="1" x14ac:dyDescent="0.35">
      <c r="A96" s="70"/>
      <c r="B96" s="7">
        <v>46200</v>
      </c>
      <c r="C96" s="8">
        <v>0.95833333333333337</v>
      </c>
      <c r="D96" s="9" t="s">
        <v>14</v>
      </c>
      <c r="E96" s="10" t="s">
        <v>69</v>
      </c>
      <c r="F96" s="25">
        <v>2</v>
      </c>
      <c r="G96" s="25">
        <v>3</v>
      </c>
      <c r="H96" s="21" t="s">
        <v>66</v>
      </c>
      <c r="J96" s="1" t="str">
        <f>IF(OR(Resultados!F96="",Resultados!G96=""),"",IF(AND(F96=Resultados!F96,G96=Resultados!G96),2,IF(((F96&gt;G96)=(Resultados!F96&gt;Resultados!G96))*((F96&lt;G96)=(Resultados!F96&lt;Resultados!G96)),1,0)))</f>
        <v/>
      </c>
    </row>
    <row r="97" spans="1:10" ht="16.2" thickBot="1" x14ac:dyDescent="0.35">
      <c r="A97" s="71"/>
      <c r="B97" s="12">
        <v>46200</v>
      </c>
      <c r="C97" s="13">
        <v>0.95833333333333337</v>
      </c>
      <c r="D97" s="14" t="s">
        <v>14</v>
      </c>
      <c r="E97" s="15" t="s">
        <v>67</v>
      </c>
      <c r="F97" s="25">
        <v>2</v>
      </c>
      <c r="G97" s="25">
        <v>0</v>
      </c>
      <c r="H97" s="21" t="s">
        <v>68</v>
      </c>
      <c r="J97" s="1" t="str">
        <f>IF(OR(Resultados!F97="",Resultados!G97=""),"",IF(AND(F97=Resultados!F97,G97=Resultados!G97),2,IF(((F97&gt;G97)=(Resultados!F97&gt;Resultados!G97))*((F97&lt;G97)=(Resultados!F97&lt;Resultados!G97)),1,0)))</f>
        <v/>
      </c>
    </row>
  </sheetData>
  <mergeCells count="14">
    <mergeCell ref="A84:A89"/>
    <mergeCell ref="A92:A97"/>
    <mergeCell ref="A36:A41"/>
    <mergeCell ref="A44:A49"/>
    <mergeCell ref="A52:A57"/>
    <mergeCell ref="A60:A65"/>
    <mergeCell ref="A68:A73"/>
    <mergeCell ref="A76:A81"/>
    <mergeCell ref="A28:A33"/>
    <mergeCell ref="A1:H1"/>
    <mergeCell ref="A2:H2"/>
    <mergeCell ref="A4:A9"/>
    <mergeCell ref="A12:A17"/>
    <mergeCell ref="A20:A25"/>
  </mergeCells>
  <pageMargins left="0.7" right="0.7" top="0.75" bottom="0.75" header="0.3" footer="0.3"/>
  <ignoredErrors>
    <ignoredError sqref="J6:J97" unlocked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0F7B7ABDCE27479D95CFC7ADDC4572" ma:contentTypeVersion="13" ma:contentTypeDescription="Create a new document." ma:contentTypeScope="" ma:versionID="c0771701eba7f6410c1e0f3fe0c7bdcf">
  <xsd:schema xmlns:xsd="http://www.w3.org/2001/XMLSchema" xmlns:xs="http://www.w3.org/2001/XMLSchema" xmlns:p="http://schemas.microsoft.com/office/2006/metadata/properties" xmlns:ns3="7461ab22-4e70-4395-beb5-078d6ab567bf" targetNamespace="http://schemas.microsoft.com/office/2006/metadata/properties" ma:root="true" ma:fieldsID="d6892b64abf6d5feebd4f731b4cb1b60" ns3:_="">
    <xsd:import namespace="7461ab22-4e70-4395-beb5-078d6ab567bf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ServiceOCR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61ab22-4e70-4395-beb5-078d6ab567bf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61ab22-4e70-4395-beb5-078d6ab567bf" xsi:nil="true"/>
  </documentManagement>
</p:properties>
</file>

<file path=customXml/itemProps1.xml><?xml version="1.0" encoding="utf-8"?>
<ds:datastoreItem xmlns:ds="http://schemas.openxmlformats.org/officeDocument/2006/customXml" ds:itemID="{5511D132-9333-423C-BAEC-48101CE724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F7CC95-797E-486E-895B-7264851EBF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61ab22-4e70-4395-beb5-078d6ab567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E79FC7-1424-4D12-B735-3F81ACD8E888}">
  <ds:schemaRefs>
    <ds:schemaRef ds:uri="http://purl.org/dc/elements/1.1/"/>
    <ds:schemaRef ds:uri="7461ab22-4e70-4395-beb5-078d6ab567bf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Resultados</vt:lpstr>
      <vt:lpstr>Ranking</vt:lpstr>
      <vt:lpstr>Cindy</vt:lpstr>
      <vt:lpstr>Wendy</vt:lpstr>
      <vt:lpstr>Packy</vt:lpstr>
      <vt:lpstr>Jimmy</vt:lpstr>
      <vt:lpstr>Bere</vt:lpstr>
      <vt:lpstr>Erick</vt:lpstr>
      <vt:lpstr>Erik</vt:lpstr>
      <vt:lpstr>Lennon</vt:lpstr>
      <vt:lpstr>Yulian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Abad</dc:creator>
  <cp:lastModifiedBy>Cindy Abad</cp:lastModifiedBy>
  <cp:lastPrinted>2026-06-14T01:53:30Z</cp:lastPrinted>
  <dcterms:created xsi:type="dcterms:W3CDTF">2026-06-14T01:28:55Z</dcterms:created>
  <dcterms:modified xsi:type="dcterms:W3CDTF">2026-06-15T03:58:26Z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0x0101002C0F7B7ABDCE27479D95CFC7ADDC4572</vt:lpwstr>
  </property>
</Properties>
</file>