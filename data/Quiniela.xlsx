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AE8FEF95-A8B8-4D47-952E-A8E35ECBB587}" xr6:coauthVersionLast="47" xr6:coauthVersionMax="47" xr10:uidLastSave="{00000000-0000-0000-0000-000000000000}"/>
  <bookViews>
    <workbookView xWindow="-108" yWindow="-108" windowWidth="23256" windowHeight="1389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<sst xmlns="http://schemas.openxmlformats.org/spreadsheetml/2006/main" count="3164" uniqueCount="87">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</sst>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abSelected="1" topLeftCell="A44" zoomScale="125" zoomScaleNormal="115" workbookViewId="0">
      <selection activeCell="J47" sqref="J47:J48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16384" width="11.5546875" style="1"/>
  </cols>
  <sheetData>
    <row r="1" spans="1:8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8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7"/>
      <c r="B5" s="7">
        <v>46185</v>
      </c>
      <c r="C5" s="8">
        <v>0.16666666666666666</v>
      </c>
      <c r="D5" s="9" t="s">
        <v>8</v>
      </c>
      <c r="E5" s="2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/>
      <c r="G6" s="25"/>
      <c r="H6" s="20" t="s">
        <v>10</v>
      </c>
    </row>
    <row r="7" spans="1:8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/>
      <c r="G7" s="25"/>
      <c r="H7" s="20" t="s">
        <v>11</v>
      </c>
    </row>
    <row r="8" spans="1:8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100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/>
      <c r="G14" s="25"/>
      <c r="H14" s="21" t="s">
        <v>17</v>
      </c>
    </row>
    <row r="15" spans="1:8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/>
      <c r="G15" s="25"/>
      <c r="H15" s="21" t="s">
        <v>18</v>
      </c>
    </row>
    <row r="16" spans="1:8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27" t="s">
        <v>24</v>
      </c>
    </row>
    <row r="22" spans="1:8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/>
      <c r="G22" s="25"/>
      <c r="H22" s="21" t="s">
        <v>22</v>
      </c>
    </row>
    <row r="23" spans="1:8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/>
      <c r="G23" s="25"/>
      <c r="H23" s="21" t="s">
        <v>23</v>
      </c>
    </row>
    <row r="24" spans="1:8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6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/>
      <c r="G30" s="25"/>
      <c r="H30" s="21" t="s">
        <v>28</v>
      </c>
    </row>
    <row r="31" spans="1:8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/>
      <c r="G31" s="25"/>
      <c r="H31" s="21" t="s">
        <v>27</v>
      </c>
    </row>
    <row r="32" spans="1:8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79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/>
      <c r="G53" s="26"/>
      <c r="H53" s="21" t="s">
        <v>44</v>
      </c>
    </row>
    <row r="54" spans="1:8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5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/>
      <c r="G68" s="26"/>
      <c r="H68" s="21" t="s">
        <v>52</v>
      </c>
    </row>
    <row r="69" spans="1:8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/>
      <c r="G69" s="26"/>
      <c r="H69" s="21" t="s">
        <v>54</v>
      </c>
    </row>
    <row r="70" spans="1:8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/>
      <c r="G76" s="26"/>
      <c r="H76" s="21" t="s">
        <v>57</v>
      </c>
    </row>
    <row r="77" spans="1:8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/>
      <c r="G77" s="26"/>
      <c r="H77" s="21" t="s">
        <v>59</v>
      </c>
    </row>
    <row r="78" spans="1:8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/>
      <c r="G84" s="26"/>
      <c r="H84" s="21" t="s">
        <v>62</v>
      </c>
    </row>
    <row r="85" spans="1:8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/>
      <c r="G85" s="26"/>
      <c r="H85" s="21" t="s">
        <v>64</v>
      </c>
    </row>
    <row r="86" spans="1:8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/>
      <c r="G92" s="26"/>
      <c r="H92" s="21" t="s">
        <v>67</v>
      </c>
    </row>
    <row r="93" spans="1:8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/>
      <c r="G93" s="26"/>
      <c r="H93" s="21" t="s">
        <v>69</v>
      </c>
    </row>
    <row r="94" spans="1:8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I9" sqref="I9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63" t="s">
        <v>74</v>
      </c>
      <c r="E1" s="64"/>
      <c r="F1" s="65"/>
    </row>
    <row r="2" spans="1:6" x14ac:dyDescent="0.3">
      <c r="D2" s="66" t="s">
        <v>75</v>
      </c>
      <c r="E2" s="67"/>
      <c r="F2" s="68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3</v>
      </c>
      <c r="D5" s="59">
        <v>1</v>
      </c>
      <c r="E5" s="59" t="str" cm="1">
        <f t="array" ref="E5:F13">_xlfn._xlws.SORT(A5:B13,2,-1)</f>
        <v>Erik</v>
      </c>
      <c r="F5" s="59">
        <v>6</v>
      </c>
    </row>
    <row r="6" spans="1:6" x14ac:dyDescent="0.3">
      <c r="A6" s="58" t="s">
        <v>77</v>
      </c>
      <c r="B6" s="58">
        <f>Wendy!L4</f>
        <v>4</v>
      </c>
      <c r="D6" s="55">
        <v>2</v>
      </c>
      <c r="E6" s="55" t="str">
        <v>Lennon</v>
      </c>
      <c r="F6" s="55">
        <v>6</v>
      </c>
    </row>
    <row r="7" spans="1:6" x14ac:dyDescent="0.3">
      <c r="A7" s="58" t="s">
        <v>79</v>
      </c>
      <c r="B7" s="58">
        <f>Jimmy!L4</f>
        <v>4</v>
      </c>
      <c r="D7" s="56">
        <v>3</v>
      </c>
      <c r="E7" s="56" t="str">
        <v>Yulian</v>
      </c>
      <c r="F7" s="56">
        <v>5</v>
      </c>
    </row>
    <row r="8" spans="1:6" x14ac:dyDescent="0.3">
      <c r="A8" s="58" t="s">
        <v>81</v>
      </c>
      <c r="B8" s="58">
        <f>Erick!L4</f>
        <v>4</v>
      </c>
      <c r="D8" s="28">
        <v>4</v>
      </c>
      <c r="E8" s="28" t="str">
        <v>Bere</v>
      </c>
      <c r="F8" s="28">
        <v>5</v>
      </c>
    </row>
    <row r="9" spans="1:6" x14ac:dyDescent="0.3">
      <c r="A9" s="58" t="s">
        <v>82</v>
      </c>
      <c r="B9" s="58">
        <f>Erik!L4</f>
        <v>6</v>
      </c>
      <c r="D9" s="28">
        <v>5</v>
      </c>
      <c r="E9" s="28" t="str">
        <v>Wendy</v>
      </c>
      <c r="F9" s="28">
        <v>4</v>
      </c>
    </row>
    <row r="10" spans="1:6" x14ac:dyDescent="0.3">
      <c r="A10" s="58" t="s">
        <v>83</v>
      </c>
      <c r="B10" s="58">
        <f>Lennon!L4</f>
        <v>6</v>
      </c>
      <c r="D10" s="28">
        <v>6</v>
      </c>
      <c r="E10" s="28" t="str">
        <v>Jimmy</v>
      </c>
      <c r="F10" s="28">
        <v>4</v>
      </c>
    </row>
    <row r="11" spans="1:6" x14ac:dyDescent="0.3">
      <c r="A11" s="58" t="s">
        <v>84</v>
      </c>
      <c r="B11" s="58">
        <f>Yulian!L4</f>
        <v>5</v>
      </c>
      <c r="D11" s="28">
        <v>7</v>
      </c>
      <c r="E11" s="28" t="str">
        <v>Erick</v>
      </c>
      <c r="F11" s="28">
        <v>4</v>
      </c>
    </row>
    <row r="12" spans="1:6" x14ac:dyDescent="0.3">
      <c r="A12" s="58" t="s">
        <v>78</v>
      </c>
      <c r="B12" s="58">
        <f>Packy!L4</f>
        <v>3</v>
      </c>
      <c r="D12" s="28">
        <v>8</v>
      </c>
      <c r="E12" s="28" t="str">
        <v>Cindy</v>
      </c>
      <c r="F12" s="28">
        <v>3</v>
      </c>
    </row>
    <row r="13" spans="1:6" x14ac:dyDescent="0.3">
      <c r="A13" s="58" t="s">
        <v>80</v>
      </c>
      <c r="B13" s="58">
        <f>Bere!L4</f>
        <v>5</v>
      </c>
      <c r="D13" s="28">
        <v>9</v>
      </c>
      <c r="E13" s="28" t="str">
        <v>Packy</v>
      </c>
      <c r="F13" s="28">
        <v>3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48" zoomScaleNormal="100" workbookViewId="0">
      <selection activeCell="K42" sqref="K42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38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3</v>
      </c>
    </row>
    <row r="5" spans="1:12" ht="16.2" thickBot="1" x14ac:dyDescent="0.35">
      <c r="A5" s="139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39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39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39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0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41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2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2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42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42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3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44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5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5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45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45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46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35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36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36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36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36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37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17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8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8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8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8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9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20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1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1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1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1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2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23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4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124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4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4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5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26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27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27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27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27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28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29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130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130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0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0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1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32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133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133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3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3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4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11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12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12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2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2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3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14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15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15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5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5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16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45" zoomScale="115" zoomScaleNormal="115" workbookViewId="0">
      <selection activeCell="F37" sqref="F37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38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4</v>
      </c>
    </row>
    <row r="5" spans="1:12" ht="16.2" thickBot="1" x14ac:dyDescent="0.35">
      <c r="A5" s="139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39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39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39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0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41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2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2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42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42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3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44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5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5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45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45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46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35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36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36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36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36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37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17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8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8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8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8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9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20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1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1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1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1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2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23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4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124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4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4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5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26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27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27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27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27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28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29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130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130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0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0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1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32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133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133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3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3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4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11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12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12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2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2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3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14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15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15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5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5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16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54" zoomScale="129" workbookViewId="0">
      <selection activeCell="K40" sqref="K40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3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43" zoomScale="121" workbookViewId="0">
      <selection activeCell="L87" sqref="L8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32" zoomScale="115" zoomScaleNormal="115" workbookViewId="0">
      <selection activeCell="F77" sqref="F7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5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1</v>
      </c>
      <c r="G21" s="26">
        <v>3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topLeftCell="A56" zoomScale="115" zoomScaleNormal="115" workbookViewId="0">
      <selection activeCell="L82" sqref="L82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4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44" zoomScale="130" workbookViewId="0">
      <selection activeCell="K52" sqref="K52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6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45" zoomScale="115" zoomScaleNormal="115" workbookViewId="0">
      <selection activeCell="L87" sqref="L8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6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A26" zoomScaleNormal="100" workbookViewId="0">
      <selection activeCell="L51" sqref="L51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9" t="s">
        <v>0</v>
      </c>
      <c r="B1" s="70"/>
      <c r="C1" s="70"/>
      <c r="D1" s="70"/>
      <c r="E1" s="70"/>
      <c r="F1" s="70"/>
      <c r="G1" s="70"/>
      <c r="H1" s="71"/>
    </row>
    <row r="2" spans="1:12" ht="16.2" thickBot="1" x14ac:dyDescent="0.35">
      <c r="A2" s="72"/>
      <c r="B2" s="73"/>
      <c r="C2" s="73"/>
      <c r="D2" s="73"/>
      <c r="E2" s="73"/>
      <c r="F2" s="73"/>
      <c r="G2" s="73"/>
      <c r="H2" s="74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6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5</v>
      </c>
    </row>
    <row r="5" spans="1:12" ht="16.2" thickBot="1" x14ac:dyDescent="0.35">
      <c r="A5" s="97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7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7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7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8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9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0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0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0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0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1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2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3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3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3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3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4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5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6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6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6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6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7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8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9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9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9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9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0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8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9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9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9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9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0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1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2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 t="str">
        <f>IF(OR(Resultados!F53="",Resultados!G53=""),"",IF(AND(F53=Resultados!F53,G53=Resultados!G53),2,IF(((F53&gt;G53)=(Resultados!F53&gt;Resultados!G53))*((F53&lt;G53)=(Resultados!F53&lt;Resultados!G53)),1,0)))</f>
        <v/>
      </c>
    </row>
    <row r="54" spans="1:10" ht="16.2" thickBot="1" x14ac:dyDescent="0.35">
      <c r="A54" s="82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2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2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3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4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5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5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5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5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6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7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 t="str">
        <f>IF(OR(Resultados!F68="",Resultados!G68=""),"",IF(AND(F68=Resultados!F68,G68=Resultados!G68),2,IF(((F68&gt;G68)=(Resultados!F68&gt;Resultados!G68))*((F68&lt;G68)=(Resultados!F68&lt;Resultados!G68)),1,0)))</f>
        <v/>
      </c>
    </row>
    <row r="69" spans="1:10" ht="16.2" thickBot="1" x14ac:dyDescent="0.35">
      <c r="A69" s="88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 t="str">
        <f>IF(OR(Resultados!F69="",Resultados!G69=""),"",IF(AND(F69=Resultados!F69,G69=Resultados!G69),2,IF(((F69&gt;G69)=(Resultados!F69&gt;Resultados!G69))*((F69&lt;G69)=(Resultados!F69&lt;Resultados!G69)),1,0)))</f>
        <v/>
      </c>
    </row>
    <row r="70" spans="1:10" ht="16.2" thickBot="1" x14ac:dyDescent="0.35">
      <c r="A70" s="88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8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8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9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0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 t="str">
        <f>IF(OR(Resultados!F76="",Resultados!G76=""),"",IF(AND(F76=Resultados!F76,G76=Resultados!G76),2,IF(((F76&gt;G76)=(Resultados!F76&gt;Resultados!G76))*((F76&lt;G76)=(Resultados!F76&lt;Resultados!G76)),1,0)))</f>
        <v/>
      </c>
    </row>
    <row r="77" spans="1:10" ht="16.2" thickBot="1" x14ac:dyDescent="0.35">
      <c r="A77" s="91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 t="str">
        <f>IF(OR(Resultados!F77="",Resultados!G77=""),"",IF(AND(F77=Resultados!F77,G77=Resultados!G77),2,IF(((F77&gt;G77)=(Resultados!F77&gt;Resultados!G77))*((F77&lt;G77)=(Resultados!F77&lt;Resultados!G77)),1,0)))</f>
        <v/>
      </c>
    </row>
    <row r="78" spans="1:10" ht="16.2" thickBot="1" x14ac:dyDescent="0.35">
      <c r="A78" s="91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1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1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2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3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94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4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4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4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5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5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6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6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6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6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7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2026-06-16T00:13:11Z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