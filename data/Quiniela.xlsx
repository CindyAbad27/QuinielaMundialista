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8_{E23FABB9-BF3C-413F-8865-E8FE71F6F837}" xr6:coauthVersionLast="47" xr6:coauthVersionMax="47" xr10:uidLastSave="{00000000-0000-0000-0000-000000000000}"/>
  <bookViews>
    <workbookView xWindow="-108" yWindow="-108" windowWidth="23256" windowHeight="13896" activeTab="1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97" i="6" l="1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1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6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<sst xmlns="http://schemas.openxmlformats.org/spreadsheetml/2006/main" count="3164" uniqueCount="87">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</sst>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6E8A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14" fontId="6" fillId="20" borderId="22" xfId="0" applyNumberFormat="1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3" borderId="0" xfId="0" applyFont="1" applyFill="1" applyAlignment="1">
      <alignment horizontal="center" vertical="center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49" fontId="20" fillId="21" borderId="25" xfId="0" applyNumberFormat="1" applyFont="1" applyFill="1" applyBorder="1" applyAlignment="1">
      <alignment horizontal="center" vertical="center"/>
    </xf>
    <xf numFmtId="49" fontId="20" fillId="21" borderId="26" xfId="0" applyNumberFormat="1" applyFont="1" applyFill="1" applyBorder="1" applyAlignment="1">
      <alignment horizontal="center" vertical="center"/>
    </xf>
    <xf numFmtId="49" fontId="20" fillId="21" borderId="27" xfId="0" applyNumberFormat="1" applyFont="1" applyFill="1" applyBorder="1" applyAlignment="1">
      <alignment horizontal="center" vertical="center"/>
    </xf>
    <xf numFmtId="49" fontId="20" fillId="21" borderId="28" xfId="0" applyNumberFormat="1" applyFont="1" applyFill="1" applyBorder="1" applyAlignment="1">
      <alignment horizontal="center" vertical="center"/>
    </xf>
    <xf numFmtId="49" fontId="20" fillId="21" borderId="29" xfId="0" applyNumberFormat="1" applyFont="1" applyFill="1" applyBorder="1" applyAlignment="1">
      <alignment horizontal="center" vertical="center"/>
    </xf>
    <xf numFmtId="49" fontId="20" fillId="21" borderId="30" xfId="0" applyNumberFormat="1" applyFont="1" applyFill="1" applyBorder="1" applyAlignment="1">
      <alignment horizontal="center" vertical="center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opLeftCell="A23" zoomScale="130" zoomScaleNormal="130" workbookViewId="0">
      <selection activeCell="F37" sqref="F3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16384" width="11.5546875" style="1"/>
  </cols>
  <sheetData>
    <row r="1" spans="1:8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8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27" t="s">
        <v>9</v>
      </c>
      <c r="F4" s="11">
        <v>2</v>
      </c>
      <c r="G4" s="11">
        <v>0</v>
      </c>
      <c r="H4" s="20" t="s">
        <v>10</v>
      </c>
    </row>
    <row r="5" spans="1:8" ht="16.2" thickBot="1" x14ac:dyDescent="0.35">
      <c r="A5" s="96"/>
      <c r="B5" s="7">
        <v>46185</v>
      </c>
      <c r="C5" s="8">
        <v>0.16666666666666666</v>
      </c>
      <c r="D5" s="9" t="s">
        <v>8</v>
      </c>
      <c r="E5" s="27" t="s">
        <v>11</v>
      </c>
      <c r="F5" s="11">
        <v>2</v>
      </c>
      <c r="G5" s="11">
        <v>1</v>
      </c>
      <c r="H5" s="20" t="s">
        <v>12</v>
      </c>
    </row>
    <row r="6" spans="1:8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/>
      <c r="G6" s="25"/>
      <c r="H6" s="20" t="s">
        <v>10</v>
      </c>
    </row>
    <row r="7" spans="1:8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/>
      <c r="G7" s="25"/>
      <c r="H7" s="20" t="s">
        <v>11</v>
      </c>
    </row>
    <row r="8" spans="1:8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28" t="s">
        <v>16</v>
      </c>
      <c r="F12" s="11">
        <v>1</v>
      </c>
      <c r="G12" s="11">
        <v>1</v>
      </c>
      <c r="H12" s="29" t="s">
        <v>17</v>
      </c>
    </row>
    <row r="13" spans="1:8" ht="16.2" thickBot="1" x14ac:dyDescent="0.35">
      <c r="A13" s="99"/>
      <c r="B13" s="7">
        <v>46186</v>
      </c>
      <c r="C13" s="8">
        <v>0.875</v>
      </c>
      <c r="D13" s="9" t="s">
        <v>8</v>
      </c>
      <c r="E13" s="28" t="s">
        <v>18</v>
      </c>
      <c r="F13" s="11">
        <v>1</v>
      </c>
      <c r="G13" s="11">
        <v>1</v>
      </c>
      <c r="H13" s="29" t="s">
        <v>19</v>
      </c>
    </row>
    <row r="14" spans="1:8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/>
      <c r="G14" s="25"/>
      <c r="H14" s="21" t="s">
        <v>17</v>
      </c>
    </row>
    <row r="15" spans="1:8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/>
      <c r="G15" s="25"/>
      <c r="H15" s="21" t="s">
        <v>18</v>
      </c>
    </row>
    <row r="16" spans="1:8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28" t="s">
        <v>21</v>
      </c>
      <c r="F20" s="11">
        <v>1</v>
      </c>
      <c r="G20" s="11">
        <v>1</v>
      </c>
      <c r="H20" s="29" t="s">
        <v>22</v>
      </c>
    </row>
    <row r="21" spans="1:8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7" t="s">
        <v>24</v>
      </c>
    </row>
    <row r="22" spans="1:8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/>
      <c r="G22" s="25"/>
      <c r="H22" s="21" t="s">
        <v>22</v>
      </c>
    </row>
    <row r="23" spans="1:8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/>
      <c r="G23" s="25"/>
      <c r="H23" s="21" t="s">
        <v>23</v>
      </c>
    </row>
    <row r="24" spans="1:8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86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11">
        <v>4</v>
      </c>
      <c r="G28" s="11">
        <v>1</v>
      </c>
      <c r="H28" s="21" t="s">
        <v>27</v>
      </c>
    </row>
    <row r="29" spans="1:8" ht="16.2" thickBot="1" x14ac:dyDescent="0.35">
      <c r="A29" s="87"/>
      <c r="B29" s="7">
        <v>46187</v>
      </c>
      <c r="C29" s="8">
        <v>0.25</v>
      </c>
      <c r="D29" s="9" t="s">
        <v>8</v>
      </c>
      <c r="E29" s="27" t="s">
        <v>28</v>
      </c>
      <c r="F29" s="26">
        <v>2</v>
      </c>
      <c r="G29" s="26">
        <v>0</v>
      </c>
      <c r="H29" s="21" t="s">
        <v>29</v>
      </c>
    </row>
    <row r="30" spans="1:8" ht="16.2" thickBot="1" x14ac:dyDescent="0.35">
      <c r="A30" s="87"/>
      <c r="B30" s="7">
        <v>46192</v>
      </c>
      <c r="C30" s="8">
        <v>0.875</v>
      </c>
      <c r="D30" s="9" t="s">
        <v>13</v>
      </c>
      <c r="E30" s="10" t="s">
        <v>26</v>
      </c>
      <c r="F30" s="25"/>
      <c r="G30" s="25"/>
      <c r="H30" s="21" t="s">
        <v>28</v>
      </c>
    </row>
    <row r="31" spans="1:8" ht="16.2" thickBot="1" x14ac:dyDescent="0.35">
      <c r="A31" s="87"/>
      <c r="B31" s="7">
        <v>46193</v>
      </c>
      <c r="C31" s="8">
        <v>0.20833333333333334</v>
      </c>
      <c r="D31" s="9" t="s">
        <v>13</v>
      </c>
      <c r="E31" s="10" t="s">
        <v>29</v>
      </c>
      <c r="F31" s="25"/>
      <c r="G31" s="25"/>
      <c r="H31" s="21" t="s">
        <v>27</v>
      </c>
    </row>
    <row r="32" spans="1:8" ht="16.2" thickBot="1" x14ac:dyDescent="0.35">
      <c r="A32" s="87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88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68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26">
        <v>7</v>
      </c>
      <c r="G36" s="26">
        <v>1</v>
      </c>
      <c r="H36" s="21" t="s">
        <v>32</v>
      </c>
    </row>
    <row r="37" spans="1:8" ht="16.2" thickBot="1" x14ac:dyDescent="0.35">
      <c r="A37" s="69"/>
      <c r="B37" s="7">
        <v>46188</v>
      </c>
      <c r="C37" s="8">
        <v>4.1666666666666664E-2</v>
      </c>
      <c r="D37" s="9" t="s">
        <v>8</v>
      </c>
      <c r="E37" s="10" t="s">
        <v>33</v>
      </c>
      <c r="F37" s="26"/>
      <c r="G37" s="26"/>
      <c r="H37" s="21" t="s">
        <v>34</v>
      </c>
    </row>
    <row r="38" spans="1:8" ht="16.2" thickBot="1" x14ac:dyDescent="0.35">
      <c r="A38" s="69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</row>
    <row r="39" spans="1:8" ht="16.2" thickBot="1" x14ac:dyDescent="0.35">
      <c r="A39" s="69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</row>
    <row r="40" spans="1:8" ht="16.2" thickBot="1" x14ac:dyDescent="0.35">
      <c r="A40" s="69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70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1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</row>
    <row r="45" spans="1:8" ht="16.2" thickBot="1" x14ac:dyDescent="0.35">
      <c r="A45" s="72"/>
      <c r="B45" s="7">
        <v>46188</v>
      </c>
      <c r="C45" s="8">
        <v>0.16666666666666666</v>
      </c>
      <c r="D45" s="9" t="s">
        <v>8</v>
      </c>
      <c r="E45" s="10" t="s">
        <v>38</v>
      </c>
      <c r="F45" s="26"/>
      <c r="G45" s="26"/>
      <c r="H45" s="21" t="s">
        <v>39</v>
      </c>
    </row>
    <row r="46" spans="1:8" ht="16.2" thickBot="1" x14ac:dyDescent="0.35">
      <c r="A46" s="72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</row>
    <row r="47" spans="1:8" ht="16.2" thickBot="1" x14ac:dyDescent="0.35">
      <c r="A47" s="72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</row>
    <row r="48" spans="1:8" ht="16.2" thickBot="1" x14ac:dyDescent="0.35">
      <c r="A48" s="72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73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74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/>
      <c r="G52" s="26"/>
      <c r="H52" s="21" t="s">
        <v>42</v>
      </c>
    </row>
    <row r="53" spans="1:8" ht="16.2" thickBot="1" x14ac:dyDescent="0.35">
      <c r="A53" s="75"/>
      <c r="B53" s="7">
        <v>46189</v>
      </c>
      <c r="C53" s="8">
        <v>0.125</v>
      </c>
      <c r="D53" s="9" t="s">
        <v>8</v>
      </c>
      <c r="E53" s="10" t="s">
        <v>43</v>
      </c>
      <c r="F53" s="26"/>
      <c r="G53" s="26"/>
      <c r="H53" s="21" t="s">
        <v>44</v>
      </c>
    </row>
    <row r="54" spans="1:8" ht="16.2" thickBot="1" x14ac:dyDescent="0.35">
      <c r="A54" s="75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</row>
    <row r="55" spans="1:8" ht="16.2" thickBot="1" x14ac:dyDescent="0.35">
      <c r="A55" s="75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</row>
    <row r="56" spans="1:8" ht="16.2" thickBot="1" x14ac:dyDescent="0.35">
      <c r="A56" s="75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76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77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/>
      <c r="G60" s="26"/>
      <c r="H60" s="21" t="s">
        <v>47</v>
      </c>
    </row>
    <row r="61" spans="1:8" ht="16.2" thickBot="1" x14ac:dyDescent="0.35">
      <c r="A61" s="78"/>
      <c r="B61" s="7">
        <v>46189</v>
      </c>
      <c r="C61" s="8">
        <v>0</v>
      </c>
      <c r="D61" s="9" t="s">
        <v>8</v>
      </c>
      <c r="E61" s="10" t="s">
        <v>48</v>
      </c>
      <c r="F61" s="26"/>
      <c r="G61" s="26"/>
      <c r="H61" s="21" t="s">
        <v>49</v>
      </c>
    </row>
    <row r="62" spans="1:8" ht="16.2" thickBot="1" x14ac:dyDescent="0.35">
      <c r="A62" s="78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</row>
    <row r="63" spans="1:8" ht="16.2" thickBot="1" x14ac:dyDescent="0.35">
      <c r="A63" s="78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</row>
    <row r="64" spans="1:8" ht="16.2" thickBot="1" x14ac:dyDescent="0.35">
      <c r="A64" s="78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79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0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/>
      <c r="G68" s="26"/>
      <c r="H68" s="21" t="s">
        <v>52</v>
      </c>
    </row>
    <row r="69" spans="1:8" ht="16.2" thickBot="1" x14ac:dyDescent="0.35">
      <c r="A69" s="81"/>
      <c r="B69" s="7">
        <v>46190</v>
      </c>
      <c r="C69" s="8">
        <v>0</v>
      </c>
      <c r="D69" s="9" t="s">
        <v>8</v>
      </c>
      <c r="E69" s="10" t="s">
        <v>53</v>
      </c>
      <c r="F69" s="26"/>
      <c r="G69" s="26"/>
      <c r="H69" s="21" t="s">
        <v>54</v>
      </c>
    </row>
    <row r="70" spans="1:8" ht="16.2" thickBot="1" x14ac:dyDescent="0.35">
      <c r="A70" s="81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</row>
    <row r="71" spans="1:8" ht="16.2" thickBot="1" x14ac:dyDescent="0.35">
      <c r="A71" s="81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</row>
    <row r="72" spans="1:8" ht="16.2" thickBot="1" x14ac:dyDescent="0.35">
      <c r="A72" s="81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82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83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/>
      <c r="G76" s="26"/>
      <c r="H76" s="21" t="s">
        <v>57</v>
      </c>
    </row>
    <row r="77" spans="1:8" ht="16.2" thickBot="1" x14ac:dyDescent="0.35">
      <c r="A77" s="84"/>
      <c r="B77" s="7">
        <v>46190</v>
      </c>
      <c r="C77" s="8">
        <v>0.25</v>
      </c>
      <c r="D77" s="9" t="s">
        <v>8</v>
      </c>
      <c r="E77" s="10" t="s">
        <v>58</v>
      </c>
      <c r="F77" s="26"/>
      <c r="G77" s="26"/>
      <c r="H77" s="21" t="s">
        <v>59</v>
      </c>
    </row>
    <row r="78" spans="1:8" ht="16.2" thickBot="1" x14ac:dyDescent="0.35">
      <c r="A78" s="84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</row>
    <row r="79" spans="1:8" ht="16.2" thickBot="1" x14ac:dyDescent="0.35">
      <c r="A79" s="84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</row>
    <row r="80" spans="1:8" ht="16.2" thickBot="1" x14ac:dyDescent="0.35">
      <c r="A80" s="84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85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6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/>
      <c r="G84" s="26"/>
      <c r="H84" s="21" t="s">
        <v>62</v>
      </c>
    </row>
    <row r="85" spans="1:8" ht="16.2" thickBot="1" x14ac:dyDescent="0.35">
      <c r="A85" s="63"/>
      <c r="B85" s="7">
        <v>46191</v>
      </c>
      <c r="C85" s="8">
        <v>0.16666666666666666</v>
      </c>
      <c r="D85" s="9" t="s">
        <v>8</v>
      </c>
      <c r="E85" s="10" t="s">
        <v>63</v>
      </c>
      <c r="F85" s="26"/>
      <c r="G85" s="26"/>
      <c r="H85" s="21" t="s">
        <v>64</v>
      </c>
    </row>
    <row r="86" spans="1:8" ht="16.2" thickBot="1" x14ac:dyDescent="0.35">
      <c r="A86" s="63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63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63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64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6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/>
      <c r="G92" s="26"/>
      <c r="H92" s="21" t="s">
        <v>67</v>
      </c>
    </row>
    <row r="93" spans="1:8" ht="16.2" thickBot="1" x14ac:dyDescent="0.35">
      <c r="A93" s="66"/>
      <c r="B93" s="7">
        <v>46191</v>
      </c>
      <c r="C93" s="8">
        <v>4.1666666666666664E-2</v>
      </c>
      <c r="D93" s="9" t="s">
        <v>8</v>
      </c>
      <c r="E93" s="10" t="s">
        <v>68</v>
      </c>
      <c r="F93" s="26"/>
      <c r="G93" s="26"/>
      <c r="H93" s="21" t="s">
        <v>69</v>
      </c>
    </row>
    <row r="94" spans="1:8" ht="16.2" thickBot="1" x14ac:dyDescent="0.35">
      <c r="A94" s="66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66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66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67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tabSelected="1" zoomScale="131" workbookViewId="0">
      <selection activeCell="H9" sqref="H9"/>
    </sheetView>
  </sheetViews>
  <sheetFormatPr baseColWidth="10" defaultRowHeight="15.6" x14ac:dyDescent="0.3"/>
  <cols>
    <col min="1" max="1" width="10.44140625" style="30" customWidth="1"/>
    <col min="2" max="3" width="11.5546875" style="30" customWidth="1"/>
    <col min="4" max="4" width="10.44140625" style="30" bestFit="1" customWidth="1"/>
    <col min="5" max="5" width="9.5546875" style="30" bestFit="1" customWidth="1"/>
    <col min="6" max="6" width="8.6640625" style="30" bestFit="1" customWidth="1"/>
    <col min="7" max="16384" width="11.5546875" style="30"/>
  </cols>
  <sheetData>
    <row r="1" spans="1:6" x14ac:dyDescent="0.3">
      <c r="D1" s="104" t="s">
        <v>74</v>
      </c>
      <c r="E1" s="105"/>
      <c r="F1" s="106"/>
    </row>
    <row r="2" spans="1:6" x14ac:dyDescent="0.3">
      <c r="D2" s="107" t="s">
        <v>75</v>
      </c>
      <c r="E2" s="108"/>
      <c r="F2" s="109"/>
    </row>
    <row r="4" spans="1:6" s="31" customFormat="1" x14ac:dyDescent="0.3">
      <c r="A4" s="59" t="s">
        <v>72</v>
      </c>
      <c r="B4" s="59" t="s">
        <v>71</v>
      </c>
      <c r="D4" s="31" t="s">
        <v>70</v>
      </c>
      <c r="E4" s="31" t="s">
        <v>72</v>
      </c>
      <c r="F4" s="31" t="s">
        <v>71</v>
      </c>
    </row>
    <row r="5" spans="1:6" x14ac:dyDescent="0.3">
      <c r="A5" s="60" t="s">
        <v>76</v>
      </c>
      <c r="B5" s="60">
        <f>Cindy!L4</f>
        <v>2</v>
      </c>
      <c r="D5" s="61">
        <v>1</v>
      </c>
      <c r="E5" s="61" t="str" cm="1">
        <f t="array" ref="E5:F13">_xlfn._xlws.SORT(A5:B13,2,-1)</f>
        <v>Lennon</v>
      </c>
      <c r="F5" s="61">
        <v>5</v>
      </c>
    </row>
    <row r="6" spans="1:6" x14ac:dyDescent="0.3">
      <c r="A6" s="60" t="s">
        <v>77</v>
      </c>
      <c r="B6" s="60">
        <f>Wendy!L4</f>
        <v>3</v>
      </c>
      <c r="D6" s="57">
        <v>2</v>
      </c>
      <c r="E6" s="57" t="str">
        <v>Erick</v>
      </c>
      <c r="F6" s="57">
        <v>4</v>
      </c>
    </row>
    <row r="7" spans="1:6" x14ac:dyDescent="0.3">
      <c r="A7" s="60" t="s">
        <v>79</v>
      </c>
      <c r="B7" s="60">
        <f>Jimmy!L4</f>
        <v>3</v>
      </c>
      <c r="D7" s="58">
        <v>3</v>
      </c>
      <c r="E7" s="58" t="str">
        <v>Bere</v>
      </c>
      <c r="F7" s="58">
        <v>4</v>
      </c>
    </row>
    <row r="8" spans="1:6" x14ac:dyDescent="0.3">
      <c r="A8" s="60" t="s">
        <v>81</v>
      </c>
      <c r="B8" s="60">
        <f>Erick!L4</f>
        <v>4</v>
      </c>
      <c r="D8" s="30">
        <v>4</v>
      </c>
      <c r="E8" s="30" t="str">
        <v>Wendy</v>
      </c>
      <c r="F8" s="30">
        <v>3</v>
      </c>
    </row>
    <row r="9" spans="1:6" x14ac:dyDescent="0.3">
      <c r="A9" s="60" t="s">
        <v>82</v>
      </c>
      <c r="B9" s="60">
        <f>Erik!L4</f>
        <v>3</v>
      </c>
      <c r="D9" s="30">
        <v>5</v>
      </c>
      <c r="E9" s="30" t="str">
        <v>Jimmy</v>
      </c>
      <c r="F9" s="30">
        <v>3</v>
      </c>
    </row>
    <row r="10" spans="1:6" x14ac:dyDescent="0.3">
      <c r="A10" s="60" t="s">
        <v>83</v>
      </c>
      <c r="B10" s="60">
        <f>Lennon!L4</f>
        <v>5</v>
      </c>
      <c r="D10" s="30">
        <v>6</v>
      </c>
      <c r="E10" s="30" t="str">
        <v>Erik</v>
      </c>
      <c r="F10" s="30">
        <v>3</v>
      </c>
    </row>
    <row r="11" spans="1:6" x14ac:dyDescent="0.3">
      <c r="A11" s="60" t="s">
        <v>84</v>
      </c>
      <c r="B11" s="60">
        <f>Yulian!L4</f>
        <v>3</v>
      </c>
      <c r="D11" s="30">
        <v>7</v>
      </c>
      <c r="E11" s="30" t="str">
        <v>Yulian</v>
      </c>
      <c r="F11" s="30">
        <v>3</v>
      </c>
    </row>
    <row r="12" spans="1:6" x14ac:dyDescent="0.3">
      <c r="A12" s="60" t="s">
        <v>78</v>
      </c>
      <c r="B12" s="60">
        <f>Packy!L4</f>
        <v>2</v>
      </c>
      <c r="D12" s="30">
        <v>8</v>
      </c>
      <c r="E12" s="30" t="str">
        <v>Cindy</v>
      </c>
      <c r="F12" s="30">
        <v>2</v>
      </c>
    </row>
    <row r="13" spans="1:6" x14ac:dyDescent="0.3">
      <c r="A13" s="60" t="s">
        <v>80</v>
      </c>
      <c r="B13" s="60">
        <f>Bere!L4</f>
        <v>4</v>
      </c>
      <c r="D13" s="30">
        <v>9</v>
      </c>
      <c r="E13" s="30" t="str">
        <v>Packy</v>
      </c>
      <c r="F13" s="30">
        <v>2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87" zoomScale="143" workbookViewId="0">
      <selection activeCell="G98" sqref="G98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3"/>
      <c r="B3" s="34" t="s">
        <v>1</v>
      </c>
      <c r="C3" s="34" t="s">
        <v>2</v>
      </c>
      <c r="D3" s="34" t="s">
        <v>3</v>
      </c>
      <c r="E3" s="35" t="s">
        <v>85</v>
      </c>
      <c r="F3" s="36" t="s">
        <v>5</v>
      </c>
      <c r="G3" s="36" t="s">
        <v>5</v>
      </c>
      <c r="H3" s="34" t="s">
        <v>86</v>
      </c>
      <c r="J3" s="32" t="s">
        <v>71</v>
      </c>
      <c r="L3" s="2" t="s">
        <v>73</v>
      </c>
    </row>
    <row r="4" spans="1:12" ht="16.2" thickBot="1" x14ac:dyDescent="0.35">
      <c r="A4" s="137" t="s">
        <v>7</v>
      </c>
      <c r="B4" s="37">
        <v>46184</v>
      </c>
      <c r="C4" s="38">
        <v>0.875</v>
      </c>
      <c r="D4" s="39" t="s">
        <v>8</v>
      </c>
      <c r="E4" s="40" t="s">
        <v>9</v>
      </c>
      <c r="F4" s="41">
        <v>2</v>
      </c>
      <c r="G4" s="41">
        <v>0</v>
      </c>
      <c r="H4" s="42" t="s">
        <v>10</v>
      </c>
      <c r="L4" s="1">
        <f>SUM(J:J)</f>
        <v>2</v>
      </c>
    </row>
    <row r="5" spans="1:12" ht="16.2" thickBot="1" x14ac:dyDescent="0.35">
      <c r="A5" s="138"/>
      <c r="B5" s="37">
        <v>46185</v>
      </c>
      <c r="C5" s="38">
        <v>0.16666666666666666</v>
      </c>
      <c r="D5" s="39" t="s">
        <v>8</v>
      </c>
      <c r="E5" s="40" t="s">
        <v>11</v>
      </c>
      <c r="F5" s="41">
        <v>2</v>
      </c>
      <c r="G5" s="41">
        <v>1</v>
      </c>
      <c r="H5" s="42" t="s">
        <v>12</v>
      </c>
    </row>
    <row r="6" spans="1:12" ht="16.2" thickBot="1" x14ac:dyDescent="0.35">
      <c r="A6" s="138"/>
      <c r="B6" s="37">
        <v>46191</v>
      </c>
      <c r="C6" s="38">
        <v>0.75</v>
      </c>
      <c r="D6" s="39" t="s">
        <v>13</v>
      </c>
      <c r="E6" s="40" t="s">
        <v>12</v>
      </c>
      <c r="F6" s="43">
        <v>2</v>
      </c>
      <c r="G6" s="43">
        <v>0</v>
      </c>
      <c r="H6" s="42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38"/>
      <c r="B7" s="37">
        <v>46192</v>
      </c>
      <c r="C7" s="38">
        <v>0.125</v>
      </c>
      <c r="D7" s="39" t="s">
        <v>13</v>
      </c>
      <c r="E7" s="40" t="s">
        <v>9</v>
      </c>
      <c r="F7" s="43">
        <v>2</v>
      </c>
      <c r="G7" s="43">
        <v>1</v>
      </c>
      <c r="H7" s="42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38"/>
      <c r="B8" s="37">
        <v>46198</v>
      </c>
      <c r="C8" s="38">
        <v>0.125</v>
      </c>
      <c r="D8" s="39" t="s">
        <v>14</v>
      </c>
      <c r="E8" s="40" t="s">
        <v>12</v>
      </c>
      <c r="F8" s="43">
        <v>1</v>
      </c>
      <c r="G8" s="43">
        <v>2</v>
      </c>
      <c r="H8" s="42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39"/>
      <c r="B9" s="44">
        <v>46198</v>
      </c>
      <c r="C9" s="45">
        <v>0.125</v>
      </c>
      <c r="D9" s="46" t="s">
        <v>14</v>
      </c>
      <c r="E9" s="47" t="s">
        <v>10</v>
      </c>
      <c r="F9" s="43">
        <v>1</v>
      </c>
      <c r="G9" s="43">
        <v>2</v>
      </c>
      <c r="H9" s="48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9"/>
      <c r="B10" s="50"/>
      <c r="C10" s="50"/>
      <c r="D10" s="50"/>
      <c r="E10" s="50"/>
      <c r="F10" s="50"/>
      <c r="G10" s="50"/>
      <c r="H10" s="51"/>
    </row>
    <row r="11" spans="1:12" ht="16.2" thickBot="1" x14ac:dyDescent="0.35">
      <c r="A11" s="52"/>
      <c r="B11" s="34" t="s">
        <v>1</v>
      </c>
      <c r="C11" s="34" t="s">
        <v>2</v>
      </c>
      <c r="D11" s="34" t="s">
        <v>3</v>
      </c>
      <c r="E11" s="35" t="s">
        <v>85</v>
      </c>
      <c r="F11" s="36" t="s">
        <v>5</v>
      </c>
      <c r="G11" s="36" t="s">
        <v>5</v>
      </c>
      <c r="H11" s="34" t="s">
        <v>86</v>
      </c>
    </row>
    <row r="12" spans="1:12" ht="16.2" thickBot="1" x14ac:dyDescent="0.35">
      <c r="A12" s="140" t="s">
        <v>15</v>
      </c>
      <c r="B12" s="37">
        <v>46185</v>
      </c>
      <c r="C12" s="38">
        <v>0.875</v>
      </c>
      <c r="D12" s="39" t="s">
        <v>8</v>
      </c>
      <c r="E12" s="40" t="s">
        <v>16</v>
      </c>
      <c r="F12" s="41">
        <v>1</v>
      </c>
      <c r="G12" s="41">
        <v>1</v>
      </c>
      <c r="H12" s="48" t="s">
        <v>17</v>
      </c>
    </row>
    <row r="13" spans="1:12" ht="16.2" thickBot="1" x14ac:dyDescent="0.35">
      <c r="A13" s="141"/>
      <c r="B13" s="37">
        <v>46186</v>
      </c>
      <c r="C13" s="38">
        <v>0.875</v>
      </c>
      <c r="D13" s="39" t="s">
        <v>8</v>
      </c>
      <c r="E13" s="40" t="s">
        <v>18</v>
      </c>
      <c r="F13" s="41">
        <v>1</v>
      </c>
      <c r="G13" s="41">
        <v>1</v>
      </c>
      <c r="H13" s="48" t="s">
        <v>19</v>
      </c>
    </row>
    <row r="14" spans="1:12" ht="16.2" thickBot="1" x14ac:dyDescent="0.35">
      <c r="A14" s="141"/>
      <c r="B14" s="37">
        <v>46191</v>
      </c>
      <c r="C14" s="38">
        <v>0.875</v>
      </c>
      <c r="D14" s="39" t="s">
        <v>13</v>
      </c>
      <c r="E14" s="40" t="s">
        <v>19</v>
      </c>
      <c r="F14" s="43">
        <v>2</v>
      </c>
      <c r="G14" s="43">
        <v>0</v>
      </c>
      <c r="H14" s="48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41"/>
      <c r="B15" s="37">
        <v>46192</v>
      </c>
      <c r="C15" s="38">
        <v>0</v>
      </c>
      <c r="D15" s="39" t="s">
        <v>13</v>
      </c>
      <c r="E15" s="40" t="s">
        <v>16</v>
      </c>
      <c r="F15" s="43">
        <v>2</v>
      </c>
      <c r="G15" s="43">
        <v>0</v>
      </c>
      <c r="H15" s="48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41"/>
      <c r="B16" s="37">
        <v>46197</v>
      </c>
      <c r="C16" s="38">
        <v>0.875</v>
      </c>
      <c r="D16" s="39" t="s">
        <v>14</v>
      </c>
      <c r="E16" s="40" t="s">
        <v>19</v>
      </c>
      <c r="F16" s="43">
        <v>1</v>
      </c>
      <c r="G16" s="43">
        <v>0</v>
      </c>
      <c r="H16" s="48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2"/>
      <c r="B17" s="44">
        <v>46197</v>
      </c>
      <c r="C17" s="45">
        <v>0.875</v>
      </c>
      <c r="D17" s="46" t="s">
        <v>14</v>
      </c>
      <c r="E17" s="47" t="s">
        <v>17</v>
      </c>
      <c r="F17" s="43">
        <v>1</v>
      </c>
      <c r="G17" s="43">
        <v>0</v>
      </c>
      <c r="H17" s="48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9"/>
      <c r="B18" s="50"/>
      <c r="C18" s="50"/>
      <c r="D18" s="50"/>
      <c r="E18" s="50"/>
      <c r="F18" s="50"/>
      <c r="G18" s="50"/>
      <c r="H18" s="51"/>
    </row>
    <row r="19" spans="1:10" ht="16.2" thickBot="1" x14ac:dyDescent="0.35">
      <c r="A19" s="52"/>
      <c r="B19" s="34" t="s">
        <v>1</v>
      </c>
      <c r="C19" s="34" t="s">
        <v>2</v>
      </c>
      <c r="D19" s="34" t="s">
        <v>3</v>
      </c>
      <c r="E19" s="35" t="s">
        <v>85</v>
      </c>
      <c r="F19" s="36" t="s">
        <v>5</v>
      </c>
      <c r="G19" s="36" t="s">
        <v>5</v>
      </c>
      <c r="H19" s="34" t="s">
        <v>86</v>
      </c>
    </row>
    <row r="20" spans="1:10" ht="16.2" thickBot="1" x14ac:dyDescent="0.35">
      <c r="A20" s="143" t="s">
        <v>20</v>
      </c>
      <c r="B20" s="37">
        <v>46187</v>
      </c>
      <c r="C20" s="38">
        <v>0</v>
      </c>
      <c r="D20" s="39" t="s">
        <v>8</v>
      </c>
      <c r="E20" s="40" t="s">
        <v>21</v>
      </c>
      <c r="F20" s="41">
        <v>1</v>
      </c>
      <c r="G20" s="41">
        <v>1</v>
      </c>
      <c r="H20" s="48" t="s">
        <v>22</v>
      </c>
    </row>
    <row r="21" spans="1:10" ht="16.2" thickBot="1" x14ac:dyDescent="0.35">
      <c r="A21" s="144"/>
      <c r="B21" s="37">
        <v>46187</v>
      </c>
      <c r="C21" s="38">
        <v>0.125</v>
      </c>
      <c r="D21" s="39" t="s">
        <v>8</v>
      </c>
      <c r="E21" s="40" t="s">
        <v>23</v>
      </c>
      <c r="F21" s="54">
        <v>0</v>
      </c>
      <c r="G21" s="54">
        <v>2</v>
      </c>
      <c r="H21" s="48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4"/>
      <c r="B22" s="37">
        <v>46193</v>
      </c>
      <c r="C22" s="38">
        <v>0</v>
      </c>
      <c r="D22" s="39" t="s">
        <v>13</v>
      </c>
      <c r="E22" s="40" t="s">
        <v>24</v>
      </c>
      <c r="F22" s="43">
        <v>0</v>
      </c>
      <c r="G22" s="43">
        <v>1</v>
      </c>
      <c r="H22" s="48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44"/>
      <c r="B23" s="37">
        <v>46193</v>
      </c>
      <c r="C23" s="38">
        <v>0.10416666666666667</v>
      </c>
      <c r="D23" s="39" t="s">
        <v>13</v>
      </c>
      <c r="E23" s="40" t="s">
        <v>21</v>
      </c>
      <c r="F23" s="43">
        <v>3</v>
      </c>
      <c r="G23" s="43">
        <v>0</v>
      </c>
      <c r="H23" s="48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44"/>
      <c r="B24" s="37">
        <v>46198</v>
      </c>
      <c r="C24" s="38">
        <v>0</v>
      </c>
      <c r="D24" s="39" t="s">
        <v>14</v>
      </c>
      <c r="E24" s="40" t="s">
        <v>24</v>
      </c>
      <c r="F24" s="43">
        <v>0</v>
      </c>
      <c r="G24" s="43">
        <v>2</v>
      </c>
      <c r="H24" s="48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45"/>
      <c r="B25" s="44">
        <v>46198</v>
      </c>
      <c r="C25" s="45">
        <v>0</v>
      </c>
      <c r="D25" s="46" t="s">
        <v>14</v>
      </c>
      <c r="E25" s="47" t="s">
        <v>22</v>
      </c>
      <c r="F25" s="43">
        <v>2</v>
      </c>
      <c r="G25" s="43">
        <v>0</v>
      </c>
      <c r="H25" s="48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5"/>
      <c r="B26" s="55"/>
      <c r="C26" s="55"/>
      <c r="D26" s="55"/>
      <c r="E26" s="55"/>
      <c r="F26" s="55"/>
      <c r="G26" s="55"/>
      <c r="H26" s="56"/>
    </row>
    <row r="27" spans="1:10" ht="16.2" thickBot="1" x14ac:dyDescent="0.35">
      <c r="A27" s="52"/>
      <c r="B27" s="34" t="s">
        <v>1</v>
      </c>
      <c r="C27" s="34" t="s">
        <v>2</v>
      </c>
      <c r="D27" s="34" t="s">
        <v>3</v>
      </c>
      <c r="E27" s="35" t="s">
        <v>85</v>
      </c>
      <c r="F27" s="36" t="s">
        <v>5</v>
      </c>
      <c r="G27" s="36" t="s">
        <v>5</v>
      </c>
      <c r="H27" s="34" t="s">
        <v>86</v>
      </c>
    </row>
    <row r="28" spans="1:10" ht="16.2" thickBot="1" x14ac:dyDescent="0.35">
      <c r="A28" s="134" t="s">
        <v>25</v>
      </c>
      <c r="B28" s="37">
        <v>46186</v>
      </c>
      <c r="C28" s="38">
        <v>0.125</v>
      </c>
      <c r="D28" s="39" t="s">
        <v>8</v>
      </c>
      <c r="E28" s="40" t="s">
        <v>26</v>
      </c>
      <c r="F28" s="41">
        <v>4</v>
      </c>
      <c r="G28" s="41">
        <v>1</v>
      </c>
      <c r="H28" s="48" t="s">
        <v>27</v>
      </c>
    </row>
    <row r="29" spans="1:10" ht="16.2" thickBot="1" x14ac:dyDescent="0.35">
      <c r="A29" s="135"/>
      <c r="B29" s="37">
        <v>46187</v>
      </c>
      <c r="C29" s="38">
        <v>0.25</v>
      </c>
      <c r="D29" s="39" t="s">
        <v>8</v>
      </c>
      <c r="E29" s="40" t="s">
        <v>28</v>
      </c>
      <c r="F29" s="54">
        <v>0</v>
      </c>
      <c r="G29" s="54">
        <v>1</v>
      </c>
      <c r="H29" s="48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35"/>
      <c r="B30" s="37">
        <v>46192</v>
      </c>
      <c r="C30" s="38">
        <v>0.875</v>
      </c>
      <c r="D30" s="39" t="s">
        <v>13</v>
      </c>
      <c r="E30" s="40" t="s">
        <v>26</v>
      </c>
      <c r="F30" s="43">
        <v>1</v>
      </c>
      <c r="G30" s="43">
        <v>0</v>
      </c>
      <c r="H30" s="48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35"/>
      <c r="B31" s="37">
        <v>46193</v>
      </c>
      <c r="C31" s="38">
        <v>0.20833333333333334</v>
      </c>
      <c r="D31" s="39" t="s">
        <v>13</v>
      </c>
      <c r="E31" s="40" t="s">
        <v>29</v>
      </c>
      <c r="F31" s="43">
        <v>2</v>
      </c>
      <c r="G31" s="43">
        <v>1</v>
      </c>
      <c r="H31" s="48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35"/>
      <c r="B32" s="37">
        <v>46199</v>
      </c>
      <c r="C32" s="38">
        <v>0.16666666666666666</v>
      </c>
      <c r="D32" s="39" t="s">
        <v>14</v>
      </c>
      <c r="E32" s="40" t="s">
        <v>29</v>
      </c>
      <c r="F32" s="43">
        <v>1</v>
      </c>
      <c r="G32" s="43">
        <v>1</v>
      </c>
      <c r="H32" s="48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36"/>
      <c r="B33" s="44">
        <v>46199</v>
      </c>
      <c r="C33" s="45">
        <v>0.16666666666666666</v>
      </c>
      <c r="D33" s="46" t="s">
        <v>14</v>
      </c>
      <c r="E33" s="47" t="s">
        <v>27</v>
      </c>
      <c r="F33" s="43">
        <v>1</v>
      </c>
      <c r="G33" s="43">
        <v>0</v>
      </c>
      <c r="H33" s="48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9"/>
      <c r="B34" s="50"/>
      <c r="C34" s="50"/>
      <c r="D34" s="50"/>
      <c r="E34" s="50"/>
      <c r="F34" s="50"/>
      <c r="G34" s="50"/>
      <c r="H34" s="51"/>
    </row>
    <row r="35" spans="1:10" ht="16.2" thickBot="1" x14ac:dyDescent="0.35">
      <c r="A35" s="52"/>
      <c r="B35" s="34" t="s">
        <v>1</v>
      </c>
      <c r="C35" s="34" t="s">
        <v>2</v>
      </c>
      <c r="D35" s="34" t="s">
        <v>3</v>
      </c>
      <c r="E35" s="35" t="s">
        <v>85</v>
      </c>
      <c r="F35" s="36" t="s">
        <v>5</v>
      </c>
      <c r="G35" s="36" t="s">
        <v>5</v>
      </c>
      <c r="H35" s="34" t="s">
        <v>86</v>
      </c>
    </row>
    <row r="36" spans="1:10" ht="16.2" thickBot="1" x14ac:dyDescent="0.35">
      <c r="A36" s="116" t="s">
        <v>30</v>
      </c>
      <c r="B36" s="37">
        <v>46187</v>
      </c>
      <c r="C36" s="38">
        <v>0.79166666666666663</v>
      </c>
      <c r="D36" s="39" t="s">
        <v>8</v>
      </c>
      <c r="E36" s="40" t="s">
        <v>31</v>
      </c>
      <c r="F36" s="54">
        <v>3</v>
      </c>
      <c r="G36" s="54">
        <v>0</v>
      </c>
      <c r="H36" s="48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7"/>
      <c r="B37" s="37">
        <v>46188</v>
      </c>
      <c r="C37" s="38">
        <v>4.1666666666666664E-2</v>
      </c>
      <c r="D37" s="39" t="s">
        <v>8</v>
      </c>
      <c r="E37" s="40" t="s">
        <v>33</v>
      </c>
      <c r="F37" s="54">
        <v>1</v>
      </c>
      <c r="G37" s="54">
        <v>1</v>
      </c>
      <c r="H37" s="48" t="s">
        <v>34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117"/>
      <c r="B38" s="37">
        <v>46193</v>
      </c>
      <c r="C38" s="38">
        <v>0.91666666666666663</v>
      </c>
      <c r="D38" s="39" t="s">
        <v>13</v>
      </c>
      <c r="E38" s="40" t="s">
        <v>31</v>
      </c>
      <c r="F38" s="43">
        <v>2</v>
      </c>
      <c r="G38" s="43">
        <v>0</v>
      </c>
      <c r="H38" s="48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7"/>
      <c r="B39" s="37">
        <v>46194</v>
      </c>
      <c r="C39" s="38">
        <v>8.3333333333333329E-2</v>
      </c>
      <c r="D39" s="39" t="s">
        <v>13</v>
      </c>
      <c r="E39" s="40" t="s">
        <v>34</v>
      </c>
      <c r="F39" s="43">
        <v>2</v>
      </c>
      <c r="G39" s="43">
        <v>0</v>
      </c>
      <c r="H39" s="48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7"/>
      <c r="B40" s="37">
        <v>46198</v>
      </c>
      <c r="C40" s="38">
        <v>0.91666666666666663</v>
      </c>
      <c r="D40" s="39" t="s">
        <v>14</v>
      </c>
      <c r="E40" s="40" t="s">
        <v>32</v>
      </c>
      <c r="F40" s="43">
        <v>0</v>
      </c>
      <c r="G40" s="43">
        <v>2</v>
      </c>
      <c r="H40" s="48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8"/>
      <c r="B41" s="44">
        <v>46198</v>
      </c>
      <c r="C41" s="45">
        <v>0.91666666666666663</v>
      </c>
      <c r="D41" s="46" t="s">
        <v>14</v>
      </c>
      <c r="E41" s="47" t="s">
        <v>34</v>
      </c>
      <c r="F41" s="43">
        <v>0</v>
      </c>
      <c r="G41" s="43">
        <v>2</v>
      </c>
      <c r="H41" s="48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9"/>
      <c r="B42" s="50"/>
      <c r="C42" s="50"/>
      <c r="D42" s="50"/>
      <c r="E42" s="50"/>
      <c r="F42" s="50"/>
      <c r="G42" s="50"/>
      <c r="H42" s="51"/>
    </row>
    <row r="43" spans="1:10" ht="16.2" thickBot="1" x14ac:dyDescent="0.35">
      <c r="A43" s="52"/>
      <c r="B43" s="34" t="s">
        <v>1</v>
      </c>
      <c r="C43" s="34" t="s">
        <v>2</v>
      </c>
      <c r="D43" s="34" t="s">
        <v>3</v>
      </c>
      <c r="E43" s="35" t="s">
        <v>85</v>
      </c>
      <c r="F43" s="36" t="s">
        <v>5</v>
      </c>
      <c r="G43" s="36" t="s">
        <v>5</v>
      </c>
      <c r="H43" s="34" t="s">
        <v>86</v>
      </c>
    </row>
    <row r="44" spans="1:10" ht="16.2" thickBot="1" x14ac:dyDescent="0.35">
      <c r="A44" s="119" t="s">
        <v>35</v>
      </c>
      <c r="B44" s="37">
        <v>46187</v>
      </c>
      <c r="C44" s="38">
        <v>0.91666666666666663</v>
      </c>
      <c r="D44" s="39" t="s">
        <v>8</v>
      </c>
      <c r="E44" s="40" t="s">
        <v>36</v>
      </c>
      <c r="F44" s="54">
        <v>2</v>
      </c>
      <c r="G44" s="54">
        <v>1</v>
      </c>
      <c r="H44" s="48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0"/>
      <c r="B45" s="37">
        <v>46188</v>
      </c>
      <c r="C45" s="38">
        <v>0.16666666666666666</v>
      </c>
      <c r="D45" s="39" t="s">
        <v>8</v>
      </c>
      <c r="E45" s="40" t="s">
        <v>38</v>
      </c>
      <c r="F45" s="54">
        <v>1</v>
      </c>
      <c r="G45" s="54">
        <v>0</v>
      </c>
      <c r="H45" s="48" t="s">
        <v>39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120"/>
      <c r="B46" s="37">
        <v>46193</v>
      </c>
      <c r="C46" s="38">
        <v>0.79166666666666663</v>
      </c>
      <c r="D46" s="39" t="s">
        <v>13</v>
      </c>
      <c r="E46" s="40" t="s">
        <v>36</v>
      </c>
      <c r="F46" s="43">
        <v>2</v>
      </c>
      <c r="G46" s="43">
        <v>1</v>
      </c>
      <c r="H46" s="48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20"/>
      <c r="B47" s="37">
        <v>46194</v>
      </c>
      <c r="C47" s="38">
        <v>0.25</v>
      </c>
      <c r="D47" s="39" t="s">
        <v>13</v>
      </c>
      <c r="E47" s="40" t="s">
        <v>39</v>
      </c>
      <c r="F47" s="43">
        <v>0</v>
      </c>
      <c r="G47" s="43">
        <v>1</v>
      </c>
      <c r="H47" s="48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20"/>
      <c r="B48" s="37">
        <v>46199</v>
      </c>
      <c r="C48" s="38">
        <v>4.1666666666666664E-2</v>
      </c>
      <c r="D48" s="39" t="s">
        <v>14</v>
      </c>
      <c r="E48" s="40" t="s">
        <v>37</v>
      </c>
      <c r="F48" s="43">
        <v>1</v>
      </c>
      <c r="G48" s="43">
        <v>0</v>
      </c>
      <c r="H48" s="48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1"/>
      <c r="B49" s="44">
        <v>46199</v>
      </c>
      <c r="C49" s="45">
        <v>4.1666666666666664E-2</v>
      </c>
      <c r="D49" s="46" t="s">
        <v>14</v>
      </c>
      <c r="E49" s="47" t="s">
        <v>39</v>
      </c>
      <c r="F49" s="43">
        <v>0</v>
      </c>
      <c r="G49" s="43">
        <v>2</v>
      </c>
      <c r="H49" s="48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9"/>
      <c r="B50" s="50"/>
      <c r="C50" s="50"/>
      <c r="D50" s="50"/>
      <c r="E50" s="50"/>
      <c r="F50" s="50"/>
      <c r="G50" s="50"/>
      <c r="H50" s="51"/>
    </row>
    <row r="51" spans="1:10" ht="16.2" thickBot="1" x14ac:dyDescent="0.35">
      <c r="A51" s="52"/>
      <c r="B51" s="34" t="s">
        <v>1</v>
      </c>
      <c r="C51" s="34" t="s">
        <v>2</v>
      </c>
      <c r="D51" s="34" t="s">
        <v>3</v>
      </c>
      <c r="E51" s="35" t="s">
        <v>85</v>
      </c>
      <c r="F51" s="36" t="s">
        <v>5</v>
      </c>
      <c r="G51" s="36" t="s">
        <v>5</v>
      </c>
      <c r="H51" s="34" t="s">
        <v>86</v>
      </c>
    </row>
    <row r="52" spans="1:10" ht="16.2" thickBot="1" x14ac:dyDescent="0.35">
      <c r="A52" s="122" t="s">
        <v>40</v>
      </c>
      <c r="B52" s="37">
        <v>46188</v>
      </c>
      <c r="C52" s="38">
        <v>0.875</v>
      </c>
      <c r="D52" s="39" t="s">
        <v>8</v>
      </c>
      <c r="E52" s="40" t="s">
        <v>41</v>
      </c>
      <c r="F52" s="54">
        <v>2</v>
      </c>
      <c r="G52" s="54">
        <v>0</v>
      </c>
      <c r="H52" s="48" t="s">
        <v>42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123"/>
      <c r="B53" s="37">
        <v>46189</v>
      </c>
      <c r="C53" s="38">
        <v>0.125</v>
      </c>
      <c r="D53" s="39" t="s">
        <v>8</v>
      </c>
      <c r="E53" s="40" t="s">
        <v>43</v>
      </c>
      <c r="F53" s="54">
        <v>1</v>
      </c>
      <c r="G53" s="54">
        <v>0</v>
      </c>
      <c r="H53" s="48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123"/>
      <c r="B54" s="37">
        <v>46194</v>
      </c>
      <c r="C54" s="38">
        <v>0.875</v>
      </c>
      <c r="D54" s="39" t="s">
        <v>13</v>
      </c>
      <c r="E54" s="40" t="s">
        <v>41</v>
      </c>
      <c r="F54" s="43">
        <v>2</v>
      </c>
      <c r="G54" s="43">
        <v>0</v>
      </c>
      <c r="H54" s="48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23"/>
      <c r="B55" s="37">
        <v>46195</v>
      </c>
      <c r="C55" s="38">
        <v>0.125</v>
      </c>
      <c r="D55" s="39" t="s">
        <v>13</v>
      </c>
      <c r="E55" s="40" t="s">
        <v>44</v>
      </c>
      <c r="F55" s="43">
        <v>0</v>
      </c>
      <c r="G55" s="43">
        <v>1</v>
      </c>
      <c r="H55" s="48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23"/>
      <c r="B56" s="37">
        <v>46200</v>
      </c>
      <c r="C56" s="38">
        <v>0.20833333333333334</v>
      </c>
      <c r="D56" s="39" t="s">
        <v>14</v>
      </c>
      <c r="E56" s="40" t="s">
        <v>42</v>
      </c>
      <c r="F56" s="43">
        <v>1</v>
      </c>
      <c r="G56" s="43">
        <v>1</v>
      </c>
      <c r="H56" s="48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4"/>
      <c r="B57" s="44">
        <v>46200</v>
      </c>
      <c r="C57" s="45">
        <v>0.20833333333333334</v>
      </c>
      <c r="D57" s="46" t="s">
        <v>14</v>
      </c>
      <c r="E57" s="47" t="s">
        <v>44</v>
      </c>
      <c r="F57" s="43">
        <v>0</v>
      </c>
      <c r="G57" s="43">
        <v>2</v>
      </c>
      <c r="H57" s="48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9"/>
      <c r="B58" s="50"/>
      <c r="C58" s="50"/>
      <c r="D58" s="50"/>
      <c r="E58" s="50"/>
      <c r="F58" s="50"/>
      <c r="G58" s="50"/>
      <c r="H58" s="51"/>
    </row>
    <row r="59" spans="1:10" ht="16.2" thickBot="1" x14ac:dyDescent="0.35">
      <c r="A59" s="52"/>
      <c r="B59" s="34" t="s">
        <v>1</v>
      </c>
      <c r="C59" s="34" t="s">
        <v>2</v>
      </c>
      <c r="D59" s="34" t="s">
        <v>3</v>
      </c>
      <c r="E59" s="35" t="s">
        <v>85</v>
      </c>
      <c r="F59" s="36" t="s">
        <v>5</v>
      </c>
      <c r="G59" s="36" t="s">
        <v>5</v>
      </c>
      <c r="H59" s="34" t="s">
        <v>86</v>
      </c>
    </row>
    <row r="60" spans="1:10" ht="16.2" thickBot="1" x14ac:dyDescent="0.35">
      <c r="A60" s="125" t="s">
        <v>45</v>
      </c>
      <c r="B60" s="37">
        <v>46188</v>
      </c>
      <c r="C60" s="38">
        <v>0.75</v>
      </c>
      <c r="D60" s="39" t="s">
        <v>8</v>
      </c>
      <c r="E60" s="40" t="s">
        <v>46</v>
      </c>
      <c r="F60" s="54">
        <v>3</v>
      </c>
      <c r="G60" s="54">
        <v>0</v>
      </c>
      <c r="H60" s="48" t="s">
        <v>47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126"/>
      <c r="B61" s="37">
        <v>46189</v>
      </c>
      <c r="C61" s="38">
        <v>0</v>
      </c>
      <c r="D61" s="39" t="s">
        <v>8</v>
      </c>
      <c r="E61" s="40" t="s">
        <v>48</v>
      </c>
      <c r="F61" s="54">
        <v>0</v>
      </c>
      <c r="G61" s="54">
        <v>2</v>
      </c>
      <c r="H61" s="48" t="s">
        <v>49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126"/>
      <c r="B62" s="37">
        <v>46194</v>
      </c>
      <c r="C62" s="38">
        <v>0.75</v>
      </c>
      <c r="D62" s="39" t="s">
        <v>13</v>
      </c>
      <c r="E62" s="40" t="s">
        <v>46</v>
      </c>
      <c r="F62" s="43">
        <v>3</v>
      </c>
      <c r="G62" s="43">
        <v>0</v>
      </c>
      <c r="H62" s="48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26"/>
      <c r="B63" s="37">
        <v>46195</v>
      </c>
      <c r="C63" s="38">
        <v>0</v>
      </c>
      <c r="D63" s="39" t="s">
        <v>13</v>
      </c>
      <c r="E63" s="40" t="s">
        <v>49</v>
      </c>
      <c r="F63" s="43">
        <v>2</v>
      </c>
      <c r="G63" s="43">
        <v>0</v>
      </c>
      <c r="H63" s="48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26"/>
      <c r="B64" s="37">
        <v>46200</v>
      </c>
      <c r="C64" s="38">
        <v>8.3333333333333329E-2</v>
      </c>
      <c r="D64" s="39" t="s">
        <v>14</v>
      </c>
      <c r="E64" s="40" t="s">
        <v>47</v>
      </c>
      <c r="F64" s="43">
        <v>1</v>
      </c>
      <c r="G64" s="43">
        <v>1</v>
      </c>
      <c r="H64" s="48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27"/>
      <c r="B65" s="44">
        <v>46200</v>
      </c>
      <c r="C65" s="45">
        <v>8.3333333333333329E-2</v>
      </c>
      <c r="D65" s="46" t="s">
        <v>14</v>
      </c>
      <c r="E65" s="47" t="s">
        <v>49</v>
      </c>
      <c r="F65" s="43">
        <v>1</v>
      </c>
      <c r="G65" s="43">
        <v>2</v>
      </c>
      <c r="H65" s="48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9"/>
      <c r="B66" s="50"/>
      <c r="C66" s="50"/>
      <c r="D66" s="50"/>
      <c r="E66" s="50"/>
      <c r="F66" s="50"/>
      <c r="G66" s="50"/>
      <c r="H66" s="51"/>
    </row>
    <row r="67" spans="1:10" ht="16.2" thickBot="1" x14ac:dyDescent="0.35">
      <c r="A67" s="52"/>
      <c r="B67" s="34" t="s">
        <v>1</v>
      </c>
      <c r="C67" s="34" t="s">
        <v>2</v>
      </c>
      <c r="D67" s="34" t="s">
        <v>3</v>
      </c>
      <c r="E67" s="35" t="s">
        <v>85</v>
      </c>
      <c r="F67" s="36" t="s">
        <v>5</v>
      </c>
      <c r="G67" s="36" t="s">
        <v>5</v>
      </c>
      <c r="H67" s="34" t="s">
        <v>86</v>
      </c>
    </row>
    <row r="68" spans="1:10" ht="16.2" thickBot="1" x14ac:dyDescent="0.35">
      <c r="A68" s="128" t="s">
        <v>50</v>
      </c>
      <c r="B68" s="37">
        <v>46189</v>
      </c>
      <c r="C68" s="38">
        <v>0.875</v>
      </c>
      <c r="D68" s="39" t="s">
        <v>8</v>
      </c>
      <c r="E68" s="40" t="s">
        <v>51</v>
      </c>
      <c r="F68" s="54">
        <v>2</v>
      </c>
      <c r="G68" s="54">
        <v>1</v>
      </c>
      <c r="H68" s="48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129"/>
      <c r="B69" s="37">
        <v>46190</v>
      </c>
      <c r="C69" s="38">
        <v>0</v>
      </c>
      <c r="D69" s="39" t="s">
        <v>8</v>
      </c>
      <c r="E69" s="40" t="s">
        <v>53</v>
      </c>
      <c r="F69" s="54">
        <v>0</v>
      </c>
      <c r="G69" s="54">
        <v>2</v>
      </c>
      <c r="H69" s="48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129"/>
      <c r="B70" s="37">
        <v>46195</v>
      </c>
      <c r="C70" s="38">
        <v>0.95833333333333337</v>
      </c>
      <c r="D70" s="39" t="s">
        <v>13</v>
      </c>
      <c r="E70" s="40" t="s">
        <v>51</v>
      </c>
      <c r="F70" s="43">
        <v>2</v>
      </c>
      <c r="G70" s="43">
        <v>0</v>
      </c>
      <c r="H70" s="48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29"/>
      <c r="B71" s="37">
        <v>46196</v>
      </c>
      <c r="C71" s="38">
        <v>8.3333333333333329E-2</v>
      </c>
      <c r="D71" s="39" t="s">
        <v>13</v>
      </c>
      <c r="E71" s="40" t="s">
        <v>54</v>
      </c>
      <c r="F71" s="43">
        <v>2</v>
      </c>
      <c r="G71" s="43">
        <v>1</v>
      </c>
      <c r="H71" s="48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29"/>
      <c r="B72" s="37">
        <v>46199</v>
      </c>
      <c r="C72" s="38">
        <v>0.875</v>
      </c>
      <c r="D72" s="39" t="s">
        <v>14</v>
      </c>
      <c r="E72" s="40" t="s">
        <v>54</v>
      </c>
      <c r="F72" s="43">
        <v>1</v>
      </c>
      <c r="G72" s="43">
        <v>2</v>
      </c>
      <c r="H72" s="48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0"/>
      <c r="B73" s="44">
        <v>46199</v>
      </c>
      <c r="C73" s="45">
        <v>0.875</v>
      </c>
      <c r="D73" s="46" t="s">
        <v>14</v>
      </c>
      <c r="E73" s="47" t="s">
        <v>52</v>
      </c>
      <c r="F73" s="43">
        <v>2</v>
      </c>
      <c r="G73" s="43">
        <v>0</v>
      </c>
      <c r="H73" s="48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9"/>
      <c r="B74" s="50"/>
      <c r="C74" s="50"/>
      <c r="D74" s="50"/>
      <c r="E74" s="50"/>
      <c r="F74" s="50"/>
      <c r="G74" s="50"/>
      <c r="H74" s="51"/>
    </row>
    <row r="75" spans="1:10" ht="16.2" thickBot="1" x14ac:dyDescent="0.35">
      <c r="A75" s="52"/>
      <c r="B75" s="34" t="s">
        <v>1</v>
      </c>
      <c r="C75" s="34" t="s">
        <v>2</v>
      </c>
      <c r="D75" s="34" t="s">
        <v>3</v>
      </c>
      <c r="E75" s="35" t="s">
        <v>85</v>
      </c>
      <c r="F75" s="36" t="s">
        <v>5</v>
      </c>
      <c r="G75" s="36" t="s">
        <v>5</v>
      </c>
      <c r="H75" s="34" t="s">
        <v>86</v>
      </c>
    </row>
    <row r="76" spans="1:10" ht="16.2" thickBot="1" x14ac:dyDescent="0.35">
      <c r="A76" s="131" t="s">
        <v>55</v>
      </c>
      <c r="B76" s="37">
        <v>46190</v>
      </c>
      <c r="C76" s="38">
        <v>0.125</v>
      </c>
      <c r="D76" s="39" t="s">
        <v>8</v>
      </c>
      <c r="E76" s="40" t="s">
        <v>56</v>
      </c>
      <c r="F76" s="54">
        <v>2</v>
      </c>
      <c r="G76" s="54">
        <v>0</v>
      </c>
      <c r="H76" s="48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132"/>
      <c r="B77" s="37">
        <v>46190</v>
      </c>
      <c r="C77" s="38">
        <v>0.25</v>
      </c>
      <c r="D77" s="39" t="s">
        <v>8</v>
      </c>
      <c r="E77" s="40" t="s">
        <v>58</v>
      </c>
      <c r="F77" s="54">
        <v>2</v>
      </c>
      <c r="G77" s="54">
        <v>0</v>
      </c>
      <c r="H77" s="48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132"/>
      <c r="B78" s="37">
        <v>46195</v>
      </c>
      <c r="C78" s="38">
        <v>0.79166666666666663</v>
      </c>
      <c r="D78" s="39" t="s">
        <v>13</v>
      </c>
      <c r="E78" s="40" t="s">
        <v>56</v>
      </c>
      <c r="F78" s="43">
        <v>2</v>
      </c>
      <c r="G78" s="43">
        <v>0</v>
      </c>
      <c r="H78" s="48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32"/>
      <c r="B79" s="37">
        <v>46196</v>
      </c>
      <c r="C79" s="38">
        <v>0.20833333333333334</v>
      </c>
      <c r="D79" s="39" t="s">
        <v>13</v>
      </c>
      <c r="E79" s="40" t="s">
        <v>59</v>
      </c>
      <c r="F79" s="43">
        <v>0</v>
      </c>
      <c r="G79" s="43">
        <v>1</v>
      </c>
      <c r="H79" s="48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2"/>
      <c r="B80" s="37">
        <v>46201</v>
      </c>
      <c r="C80" s="38">
        <v>0.16666666666666666</v>
      </c>
      <c r="D80" s="39" t="s">
        <v>14</v>
      </c>
      <c r="E80" s="40" t="s">
        <v>57</v>
      </c>
      <c r="F80" s="43">
        <v>1</v>
      </c>
      <c r="G80" s="43">
        <v>1</v>
      </c>
      <c r="H80" s="48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3"/>
      <c r="B81" s="44">
        <v>46201</v>
      </c>
      <c r="C81" s="45">
        <v>0.16666666666666666</v>
      </c>
      <c r="D81" s="46" t="s">
        <v>14</v>
      </c>
      <c r="E81" s="47" t="s">
        <v>59</v>
      </c>
      <c r="F81" s="43">
        <v>0</v>
      </c>
      <c r="G81" s="43">
        <v>3</v>
      </c>
      <c r="H81" s="48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5"/>
      <c r="B82" s="55"/>
      <c r="C82" s="55"/>
      <c r="D82" s="55"/>
      <c r="E82" s="55"/>
      <c r="F82" s="55"/>
      <c r="G82" s="55"/>
      <c r="H82" s="56"/>
    </row>
    <row r="83" spans="1:10" ht="16.2" thickBot="1" x14ac:dyDescent="0.35">
      <c r="A83" s="52"/>
      <c r="B83" s="34" t="s">
        <v>1</v>
      </c>
      <c r="C83" s="34" t="s">
        <v>2</v>
      </c>
      <c r="D83" s="34" t="s">
        <v>3</v>
      </c>
      <c r="E83" s="35" t="s">
        <v>85</v>
      </c>
      <c r="F83" s="36" t="s">
        <v>5</v>
      </c>
      <c r="G83" s="36" t="s">
        <v>5</v>
      </c>
      <c r="H83" s="34" t="s">
        <v>86</v>
      </c>
    </row>
    <row r="84" spans="1:10" ht="16.2" thickBot="1" x14ac:dyDescent="0.35">
      <c r="A84" s="110" t="s">
        <v>60</v>
      </c>
      <c r="B84" s="37">
        <v>46190</v>
      </c>
      <c r="C84" s="38">
        <v>0.79166666666666663</v>
      </c>
      <c r="D84" s="39" t="s">
        <v>8</v>
      </c>
      <c r="E84" s="40" t="s">
        <v>61</v>
      </c>
      <c r="F84" s="54">
        <v>2</v>
      </c>
      <c r="G84" s="54">
        <v>0</v>
      </c>
      <c r="H84" s="48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111"/>
      <c r="B85" s="37">
        <v>46191</v>
      </c>
      <c r="C85" s="38">
        <v>0.16666666666666666</v>
      </c>
      <c r="D85" s="39" t="s">
        <v>8</v>
      </c>
      <c r="E85" s="40" t="s">
        <v>63</v>
      </c>
      <c r="F85" s="54">
        <v>1</v>
      </c>
      <c r="G85" s="54">
        <v>2</v>
      </c>
      <c r="H85" s="48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11"/>
      <c r="B86" s="37">
        <v>46196</v>
      </c>
      <c r="C86" s="38">
        <v>0.79166666666666663</v>
      </c>
      <c r="D86" s="39" t="s">
        <v>13</v>
      </c>
      <c r="E86" s="40" t="s">
        <v>61</v>
      </c>
      <c r="F86" s="43">
        <v>2</v>
      </c>
      <c r="G86" s="43">
        <v>0</v>
      </c>
      <c r="H86" s="48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1"/>
      <c r="B87" s="37">
        <v>46197</v>
      </c>
      <c r="C87" s="38">
        <v>0.16666666666666666</v>
      </c>
      <c r="D87" s="39" t="s">
        <v>13</v>
      </c>
      <c r="E87" s="40" t="s">
        <v>64</v>
      </c>
      <c r="F87" s="43">
        <v>2</v>
      </c>
      <c r="G87" s="43">
        <v>0</v>
      </c>
      <c r="H87" s="48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1"/>
      <c r="B88" s="37">
        <v>46201</v>
      </c>
      <c r="C88" s="38">
        <v>6.25E-2</v>
      </c>
      <c r="D88" s="39" t="s">
        <v>14</v>
      </c>
      <c r="E88" s="40" t="s">
        <v>64</v>
      </c>
      <c r="F88" s="43">
        <v>1</v>
      </c>
      <c r="G88" s="43">
        <v>2</v>
      </c>
      <c r="H88" s="48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2"/>
      <c r="B89" s="44">
        <v>46201</v>
      </c>
      <c r="C89" s="45">
        <v>6.25E-2</v>
      </c>
      <c r="D89" s="46" t="s">
        <v>14</v>
      </c>
      <c r="E89" s="47" t="s">
        <v>62</v>
      </c>
      <c r="F89" s="43">
        <v>1</v>
      </c>
      <c r="G89" s="43">
        <v>1</v>
      </c>
      <c r="H89" s="48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9"/>
      <c r="B90" s="50"/>
      <c r="C90" s="50"/>
      <c r="D90" s="50"/>
      <c r="E90" s="50"/>
      <c r="F90" s="50"/>
      <c r="G90" s="50"/>
      <c r="H90" s="51"/>
    </row>
    <row r="91" spans="1:10" ht="16.2" thickBot="1" x14ac:dyDescent="0.35">
      <c r="A91" s="52"/>
      <c r="B91" s="34" t="s">
        <v>1</v>
      </c>
      <c r="C91" s="34" t="s">
        <v>2</v>
      </c>
      <c r="D91" s="34" t="s">
        <v>3</v>
      </c>
      <c r="E91" s="35" t="s">
        <v>85</v>
      </c>
      <c r="F91" s="36" t="s">
        <v>5</v>
      </c>
      <c r="G91" s="36" t="s">
        <v>5</v>
      </c>
      <c r="H91" s="34" t="s">
        <v>86</v>
      </c>
    </row>
    <row r="92" spans="1:10" ht="16.2" thickBot="1" x14ac:dyDescent="0.35">
      <c r="A92" s="113" t="s">
        <v>65</v>
      </c>
      <c r="B92" s="37">
        <v>46190</v>
      </c>
      <c r="C92" s="38">
        <v>0.91666666666666663</v>
      </c>
      <c r="D92" s="39" t="s">
        <v>8</v>
      </c>
      <c r="E92" s="40" t="s">
        <v>66</v>
      </c>
      <c r="F92" s="54">
        <v>1</v>
      </c>
      <c r="G92" s="54">
        <v>1</v>
      </c>
      <c r="H92" s="48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114"/>
      <c r="B93" s="37">
        <v>46191</v>
      </c>
      <c r="C93" s="38">
        <v>4.1666666666666664E-2</v>
      </c>
      <c r="D93" s="39" t="s">
        <v>8</v>
      </c>
      <c r="E93" s="40" t="s">
        <v>68</v>
      </c>
      <c r="F93" s="54">
        <v>1</v>
      </c>
      <c r="G93" s="54">
        <v>0</v>
      </c>
      <c r="H93" s="48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114"/>
      <c r="B94" s="37">
        <v>46196</v>
      </c>
      <c r="C94" s="38">
        <v>0.91666666666666663</v>
      </c>
      <c r="D94" s="39" t="s">
        <v>13</v>
      </c>
      <c r="E94" s="40" t="s">
        <v>66</v>
      </c>
      <c r="F94" s="43">
        <v>2</v>
      </c>
      <c r="G94" s="43">
        <v>0</v>
      </c>
      <c r="H94" s="48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4"/>
      <c r="B95" s="37">
        <v>46197</v>
      </c>
      <c r="C95" s="38">
        <v>4.1666666666666664E-2</v>
      </c>
      <c r="D95" s="39" t="s">
        <v>13</v>
      </c>
      <c r="E95" s="40" t="s">
        <v>69</v>
      </c>
      <c r="F95" s="43">
        <v>0</v>
      </c>
      <c r="G95" s="43">
        <v>2</v>
      </c>
      <c r="H95" s="48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4"/>
      <c r="B96" s="37">
        <v>46200</v>
      </c>
      <c r="C96" s="38">
        <v>0.95833333333333337</v>
      </c>
      <c r="D96" s="39" t="s">
        <v>14</v>
      </c>
      <c r="E96" s="40" t="s">
        <v>69</v>
      </c>
      <c r="F96" s="43">
        <v>0</v>
      </c>
      <c r="G96" s="43">
        <v>2</v>
      </c>
      <c r="H96" s="48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15"/>
      <c r="B97" s="44">
        <v>46200</v>
      </c>
      <c r="C97" s="45">
        <v>0.95833333333333337</v>
      </c>
      <c r="D97" s="46" t="s">
        <v>14</v>
      </c>
      <c r="E97" s="47" t="s">
        <v>67</v>
      </c>
      <c r="F97" s="43">
        <v>2</v>
      </c>
      <c r="G97" s="43">
        <v>1</v>
      </c>
      <c r="H97" s="48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2" zoomScale="155" workbookViewId="0">
      <selection activeCell="M7" sqref="M7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3"/>
      <c r="B3" s="34" t="s">
        <v>1</v>
      </c>
      <c r="C3" s="34" t="s">
        <v>2</v>
      </c>
      <c r="D3" s="34" t="s">
        <v>3</v>
      </c>
      <c r="E3" s="35" t="s">
        <v>4</v>
      </c>
      <c r="F3" s="36" t="s">
        <v>5</v>
      </c>
      <c r="G3" s="36" t="s">
        <v>5</v>
      </c>
      <c r="H3" s="34" t="s">
        <v>6</v>
      </c>
      <c r="J3" s="32" t="s">
        <v>71</v>
      </c>
      <c r="L3" s="2" t="s">
        <v>73</v>
      </c>
    </row>
    <row r="4" spans="1:12" ht="16.2" thickBot="1" x14ac:dyDescent="0.35">
      <c r="A4" s="137" t="s">
        <v>7</v>
      </c>
      <c r="B4" s="37">
        <v>46184</v>
      </c>
      <c r="C4" s="38">
        <v>0.875</v>
      </c>
      <c r="D4" s="39" t="s">
        <v>8</v>
      </c>
      <c r="E4" s="40" t="s">
        <v>9</v>
      </c>
      <c r="F4" s="41">
        <v>2</v>
      </c>
      <c r="G4" s="41">
        <v>0</v>
      </c>
      <c r="H4" s="42" t="s">
        <v>10</v>
      </c>
      <c r="L4" s="1">
        <f>SUM(J:J)</f>
        <v>3</v>
      </c>
    </row>
    <row r="5" spans="1:12" ht="16.2" thickBot="1" x14ac:dyDescent="0.35">
      <c r="A5" s="138"/>
      <c r="B5" s="37">
        <v>46185</v>
      </c>
      <c r="C5" s="38">
        <v>0.16666666666666666</v>
      </c>
      <c r="D5" s="39" t="s">
        <v>8</v>
      </c>
      <c r="E5" s="40" t="s">
        <v>11</v>
      </c>
      <c r="F5" s="41">
        <v>2</v>
      </c>
      <c r="G5" s="41">
        <v>1</v>
      </c>
      <c r="H5" s="42" t="s">
        <v>12</v>
      </c>
    </row>
    <row r="6" spans="1:12" ht="16.2" thickBot="1" x14ac:dyDescent="0.35">
      <c r="A6" s="138"/>
      <c r="B6" s="37">
        <v>46191</v>
      </c>
      <c r="C6" s="38">
        <v>0.75</v>
      </c>
      <c r="D6" s="39" t="s">
        <v>13</v>
      </c>
      <c r="E6" s="40" t="s">
        <v>12</v>
      </c>
      <c r="F6" s="43">
        <v>2</v>
      </c>
      <c r="G6" s="43">
        <v>0</v>
      </c>
      <c r="H6" s="42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38"/>
      <c r="B7" s="37">
        <v>46192</v>
      </c>
      <c r="C7" s="38">
        <v>0.125</v>
      </c>
      <c r="D7" s="39" t="s">
        <v>13</v>
      </c>
      <c r="E7" s="40" t="s">
        <v>9</v>
      </c>
      <c r="F7" s="43">
        <v>3</v>
      </c>
      <c r="G7" s="43">
        <v>1</v>
      </c>
      <c r="H7" s="42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38"/>
      <c r="B8" s="37">
        <v>46198</v>
      </c>
      <c r="C8" s="38">
        <v>0.125</v>
      </c>
      <c r="D8" s="39" t="s">
        <v>14</v>
      </c>
      <c r="E8" s="40" t="s">
        <v>12</v>
      </c>
      <c r="F8" s="43">
        <v>1</v>
      </c>
      <c r="G8" s="43">
        <v>2</v>
      </c>
      <c r="H8" s="42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39"/>
      <c r="B9" s="44">
        <v>46198</v>
      </c>
      <c r="C9" s="45">
        <v>0.125</v>
      </c>
      <c r="D9" s="46" t="s">
        <v>14</v>
      </c>
      <c r="E9" s="47" t="s">
        <v>10</v>
      </c>
      <c r="F9" s="43">
        <v>1</v>
      </c>
      <c r="G9" s="43">
        <v>1</v>
      </c>
      <c r="H9" s="48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9"/>
      <c r="B10" s="50"/>
      <c r="C10" s="50"/>
      <c r="D10" s="50"/>
      <c r="E10" s="50"/>
      <c r="F10" s="50"/>
      <c r="G10" s="50"/>
      <c r="H10" s="51"/>
    </row>
    <row r="11" spans="1:12" ht="16.2" thickBot="1" x14ac:dyDescent="0.35">
      <c r="A11" s="52"/>
      <c r="B11" s="34" t="s">
        <v>1</v>
      </c>
      <c r="C11" s="34" t="s">
        <v>2</v>
      </c>
      <c r="D11" s="34" t="s">
        <v>3</v>
      </c>
      <c r="E11" s="35" t="s">
        <v>4</v>
      </c>
      <c r="F11" s="36" t="s">
        <v>5</v>
      </c>
      <c r="G11" s="36" t="s">
        <v>5</v>
      </c>
      <c r="H11" s="53" t="s">
        <v>6</v>
      </c>
    </row>
    <row r="12" spans="1:12" ht="16.2" thickBot="1" x14ac:dyDescent="0.35">
      <c r="A12" s="140" t="s">
        <v>15</v>
      </c>
      <c r="B12" s="37">
        <v>46185</v>
      </c>
      <c r="C12" s="38">
        <v>0.875</v>
      </c>
      <c r="D12" s="39" t="s">
        <v>8</v>
      </c>
      <c r="E12" s="40" t="s">
        <v>16</v>
      </c>
      <c r="F12" s="41">
        <v>1</v>
      </c>
      <c r="G12" s="41">
        <v>1</v>
      </c>
      <c r="H12" s="48" t="s">
        <v>17</v>
      </c>
    </row>
    <row r="13" spans="1:12" ht="16.2" thickBot="1" x14ac:dyDescent="0.35">
      <c r="A13" s="141"/>
      <c r="B13" s="37">
        <v>46186</v>
      </c>
      <c r="C13" s="38">
        <v>0.875</v>
      </c>
      <c r="D13" s="39" t="s">
        <v>8</v>
      </c>
      <c r="E13" s="40" t="s">
        <v>18</v>
      </c>
      <c r="F13" s="41">
        <v>1</v>
      </c>
      <c r="G13" s="41">
        <v>1</v>
      </c>
      <c r="H13" s="48" t="s">
        <v>19</v>
      </c>
    </row>
    <row r="14" spans="1:12" ht="16.2" thickBot="1" x14ac:dyDescent="0.35">
      <c r="A14" s="141"/>
      <c r="B14" s="37">
        <v>46191</v>
      </c>
      <c r="C14" s="38">
        <v>0.875</v>
      </c>
      <c r="D14" s="39" t="s">
        <v>13</v>
      </c>
      <c r="E14" s="40" t="s">
        <v>19</v>
      </c>
      <c r="F14" s="43">
        <v>1</v>
      </c>
      <c r="G14" s="43">
        <v>0</v>
      </c>
      <c r="H14" s="48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41"/>
      <c r="B15" s="37">
        <v>46192</v>
      </c>
      <c r="C15" s="38">
        <v>0</v>
      </c>
      <c r="D15" s="39" t="s">
        <v>13</v>
      </c>
      <c r="E15" s="40" t="s">
        <v>16</v>
      </c>
      <c r="F15" s="43">
        <v>2</v>
      </c>
      <c r="G15" s="43">
        <v>1</v>
      </c>
      <c r="H15" s="48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41"/>
      <c r="B16" s="37">
        <v>46197</v>
      </c>
      <c r="C16" s="38">
        <v>0.875</v>
      </c>
      <c r="D16" s="39" t="s">
        <v>14</v>
      </c>
      <c r="E16" s="40" t="s">
        <v>19</v>
      </c>
      <c r="F16" s="43">
        <v>0</v>
      </c>
      <c r="G16" s="43">
        <v>2</v>
      </c>
      <c r="H16" s="48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2"/>
      <c r="B17" s="44">
        <v>46197</v>
      </c>
      <c r="C17" s="45">
        <v>0.875</v>
      </c>
      <c r="D17" s="46" t="s">
        <v>14</v>
      </c>
      <c r="E17" s="47" t="s">
        <v>17</v>
      </c>
      <c r="F17" s="43">
        <v>0</v>
      </c>
      <c r="G17" s="43">
        <v>1</v>
      </c>
      <c r="H17" s="48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9"/>
      <c r="B18" s="50"/>
      <c r="C18" s="50"/>
      <c r="D18" s="50"/>
      <c r="E18" s="50"/>
      <c r="F18" s="50"/>
      <c r="G18" s="50"/>
      <c r="H18" s="51"/>
    </row>
    <row r="19" spans="1:10" ht="16.2" thickBot="1" x14ac:dyDescent="0.35">
      <c r="A19" s="52"/>
      <c r="B19" s="34" t="s">
        <v>1</v>
      </c>
      <c r="C19" s="34" t="s">
        <v>2</v>
      </c>
      <c r="D19" s="34" t="s">
        <v>3</v>
      </c>
      <c r="E19" s="35" t="s">
        <v>4</v>
      </c>
      <c r="F19" s="36" t="s">
        <v>5</v>
      </c>
      <c r="G19" s="36" t="s">
        <v>5</v>
      </c>
      <c r="H19" s="53" t="s">
        <v>6</v>
      </c>
    </row>
    <row r="20" spans="1:10" ht="16.2" thickBot="1" x14ac:dyDescent="0.35">
      <c r="A20" s="143" t="s">
        <v>20</v>
      </c>
      <c r="B20" s="37">
        <v>46187</v>
      </c>
      <c r="C20" s="38">
        <v>0</v>
      </c>
      <c r="D20" s="39" t="s">
        <v>8</v>
      </c>
      <c r="E20" s="40" t="s">
        <v>21</v>
      </c>
      <c r="F20" s="41">
        <v>1</v>
      </c>
      <c r="G20" s="41">
        <v>1</v>
      </c>
      <c r="H20" s="48" t="s">
        <v>22</v>
      </c>
    </row>
    <row r="21" spans="1:10" ht="16.2" thickBot="1" x14ac:dyDescent="0.35">
      <c r="A21" s="144"/>
      <c r="B21" s="37">
        <v>46187</v>
      </c>
      <c r="C21" s="38">
        <v>0.125</v>
      </c>
      <c r="D21" s="39" t="s">
        <v>8</v>
      </c>
      <c r="E21" s="40" t="s">
        <v>23</v>
      </c>
      <c r="F21" s="54">
        <v>0</v>
      </c>
      <c r="G21" s="54">
        <v>2</v>
      </c>
      <c r="H21" s="48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4"/>
      <c r="B22" s="37">
        <v>46193</v>
      </c>
      <c r="C22" s="38">
        <v>0</v>
      </c>
      <c r="D22" s="39" t="s">
        <v>13</v>
      </c>
      <c r="E22" s="40" t="s">
        <v>24</v>
      </c>
      <c r="F22" s="43">
        <v>1</v>
      </c>
      <c r="G22" s="43">
        <v>1</v>
      </c>
      <c r="H22" s="48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44"/>
      <c r="B23" s="37">
        <v>46193</v>
      </c>
      <c r="C23" s="38">
        <v>0.10416666666666667</v>
      </c>
      <c r="D23" s="39" t="s">
        <v>13</v>
      </c>
      <c r="E23" s="40" t="s">
        <v>21</v>
      </c>
      <c r="F23" s="43">
        <v>4</v>
      </c>
      <c r="G23" s="43">
        <v>0</v>
      </c>
      <c r="H23" s="48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44"/>
      <c r="B24" s="37">
        <v>46198</v>
      </c>
      <c r="C24" s="38">
        <v>0</v>
      </c>
      <c r="D24" s="39" t="s">
        <v>14</v>
      </c>
      <c r="E24" s="40" t="s">
        <v>24</v>
      </c>
      <c r="F24" s="43">
        <v>1</v>
      </c>
      <c r="G24" s="43">
        <v>3</v>
      </c>
      <c r="H24" s="48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45"/>
      <c r="B25" s="44">
        <v>46198</v>
      </c>
      <c r="C25" s="45">
        <v>0</v>
      </c>
      <c r="D25" s="46" t="s">
        <v>14</v>
      </c>
      <c r="E25" s="47" t="s">
        <v>22</v>
      </c>
      <c r="F25" s="43">
        <v>2</v>
      </c>
      <c r="G25" s="43">
        <v>2</v>
      </c>
      <c r="H25" s="48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5"/>
      <c r="B26" s="55"/>
      <c r="C26" s="55"/>
      <c r="D26" s="55"/>
      <c r="E26" s="55"/>
      <c r="F26" s="55"/>
      <c r="G26" s="55"/>
      <c r="H26" s="56"/>
    </row>
    <row r="27" spans="1:10" ht="16.2" thickBot="1" x14ac:dyDescent="0.35">
      <c r="A27" s="52"/>
      <c r="B27" s="34" t="s">
        <v>1</v>
      </c>
      <c r="C27" s="34" t="s">
        <v>2</v>
      </c>
      <c r="D27" s="34" t="s">
        <v>3</v>
      </c>
      <c r="E27" s="35" t="s">
        <v>4</v>
      </c>
      <c r="F27" s="36" t="s">
        <v>5</v>
      </c>
      <c r="G27" s="36" t="s">
        <v>5</v>
      </c>
      <c r="H27" s="53" t="s">
        <v>6</v>
      </c>
    </row>
    <row r="28" spans="1:10" ht="16.2" thickBot="1" x14ac:dyDescent="0.35">
      <c r="A28" s="134" t="s">
        <v>25</v>
      </c>
      <c r="B28" s="37">
        <v>46186</v>
      </c>
      <c r="C28" s="38">
        <v>0.125</v>
      </c>
      <c r="D28" s="39" t="s">
        <v>8</v>
      </c>
      <c r="E28" s="40" t="s">
        <v>26</v>
      </c>
      <c r="F28" s="41">
        <v>4</v>
      </c>
      <c r="G28" s="41">
        <v>1</v>
      </c>
      <c r="H28" s="48" t="s">
        <v>27</v>
      </c>
    </row>
    <row r="29" spans="1:10" ht="16.2" thickBot="1" x14ac:dyDescent="0.35">
      <c r="A29" s="135"/>
      <c r="B29" s="37">
        <v>46187</v>
      </c>
      <c r="C29" s="38">
        <v>0.25</v>
      </c>
      <c r="D29" s="39" t="s">
        <v>8</v>
      </c>
      <c r="E29" s="40" t="s">
        <v>28</v>
      </c>
      <c r="F29" s="54">
        <v>1</v>
      </c>
      <c r="G29" s="54">
        <v>0</v>
      </c>
      <c r="H29" s="48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35"/>
      <c r="B30" s="37">
        <v>46192</v>
      </c>
      <c r="C30" s="38">
        <v>0.875</v>
      </c>
      <c r="D30" s="39" t="s">
        <v>13</v>
      </c>
      <c r="E30" s="40" t="s">
        <v>26</v>
      </c>
      <c r="F30" s="43">
        <v>3</v>
      </c>
      <c r="G30" s="43">
        <v>1</v>
      </c>
      <c r="H30" s="48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35"/>
      <c r="B31" s="37">
        <v>46193</v>
      </c>
      <c r="C31" s="38">
        <v>0.20833333333333334</v>
      </c>
      <c r="D31" s="39" t="s">
        <v>13</v>
      </c>
      <c r="E31" s="40" t="s">
        <v>29</v>
      </c>
      <c r="F31" s="43">
        <v>0</v>
      </c>
      <c r="G31" s="43">
        <v>1</v>
      </c>
      <c r="H31" s="48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35"/>
      <c r="B32" s="37">
        <v>46199</v>
      </c>
      <c r="C32" s="38">
        <v>0.16666666666666666</v>
      </c>
      <c r="D32" s="39" t="s">
        <v>14</v>
      </c>
      <c r="E32" s="40" t="s">
        <v>29</v>
      </c>
      <c r="F32" s="43">
        <v>0</v>
      </c>
      <c r="G32" s="43">
        <v>1</v>
      </c>
      <c r="H32" s="48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36"/>
      <c r="B33" s="44">
        <v>46199</v>
      </c>
      <c r="C33" s="45">
        <v>0.16666666666666666</v>
      </c>
      <c r="D33" s="46" t="s">
        <v>14</v>
      </c>
      <c r="E33" s="47" t="s">
        <v>27</v>
      </c>
      <c r="F33" s="43">
        <v>2</v>
      </c>
      <c r="G33" s="43">
        <v>1</v>
      </c>
      <c r="H33" s="48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9"/>
      <c r="B34" s="50"/>
      <c r="C34" s="50"/>
      <c r="D34" s="50"/>
      <c r="E34" s="50"/>
      <c r="F34" s="50"/>
      <c r="G34" s="50"/>
      <c r="H34" s="51"/>
    </row>
    <row r="35" spans="1:10" ht="16.2" thickBot="1" x14ac:dyDescent="0.35">
      <c r="A35" s="52"/>
      <c r="B35" s="34" t="s">
        <v>1</v>
      </c>
      <c r="C35" s="34" t="s">
        <v>2</v>
      </c>
      <c r="D35" s="34" t="s">
        <v>3</v>
      </c>
      <c r="E35" s="35" t="s">
        <v>4</v>
      </c>
      <c r="F35" s="36" t="s">
        <v>5</v>
      </c>
      <c r="G35" s="36" t="s">
        <v>5</v>
      </c>
      <c r="H35" s="53" t="s">
        <v>6</v>
      </c>
    </row>
    <row r="36" spans="1:10" ht="16.2" thickBot="1" x14ac:dyDescent="0.35">
      <c r="A36" s="116" t="s">
        <v>30</v>
      </c>
      <c r="B36" s="37">
        <v>46187</v>
      </c>
      <c r="C36" s="38">
        <v>0.79166666666666663</v>
      </c>
      <c r="D36" s="39" t="s">
        <v>8</v>
      </c>
      <c r="E36" s="40" t="s">
        <v>31</v>
      </c>
      <c r="F36" s="54">
        <v>3</v>
      </c>
      <c r="G36" s="54">
        <v>0</v>
      </c>
      <c r="H36" s="48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7"/>
      <c r="B37" s="37">
        <v>46188</v>
      </c>
      <c r="C37" s="38">
        <v>4.1666666666666664E-2</v>
      </c>
      <c r="D37" s="39" t="s">
        <v>8</v>
      </c>
      <c r="E37" s="40" t="s">
        <v>33</v>
      </c>
      <c r="F37" s="54">
        <v>0</v>
      </c>
      <c r="G37" s="54">
        <v>1</v>
      </c>
      <c r="H37" s="48" t="s">
        <v>34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117"/>
      <c r="B38" s="37">
        <v>46193</v>
      </c>
      <c r="C38" s="38">
        <v>0.91666666666666663</v>
      </c>
      <c r="D38" s="39" t="s">
        <v>13</v>
      </c>
      <c r="E38" s="40" t="s">
        <v>31</v>
      </c>
      <c r="F38" s="43">
        <v>4</v>
      </c>
      <c r="G38" s="43">
        <v>1</v>
      </c>
      <c r="H38" s="48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7"/>
      <c r="B39" s="37">
        <v>46194</v>
      </c>
      <c r="C39" s="38">
        <v>8.3333333333333329E-2</v>
      </c>
      <c r="D39" s="39" t="s">
        <v>13</v>
      </c>
      <c r="E39" s="40" t="s">
        <v>34</v>
      </c>
      <c r="F39" s="43">
        <v>3</v>
      </c>
      <c r="G39" s="43">
        <v>1</v>
      </c>
      <c r="H39" s="48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7"/>
      <c r="B40" s="37">
        <v>46198</v>
      </c>
      <c r="C40" s="38">
        <v>0.91666666666666663</v>
      </c>
      <c r="D40" s="39" t="s">
        <v>14</v>
      </c>
      <c r="E40" s="40" t="s">
        <v>32</v>
      </c>
      <c r="F40" s="43">
        <v>1</v>
      </c>
      <c r="G40" s="43">
        <v>1</v>
      </c>
      <c r="H40" s="48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8"/>
      <c r="B41" s="44">
        <v>46198</v>
      </c>
      <c r="C41" s="45">
        <v>0.91666666666666663</v>
      </c>
      <c r="D41" s="46" t="s">
        <v>14</v>
      </c>
      <c r="E41" s="47" t="s">
        <v>34</v>
      </c>
      <c r="F41" s="43">
        <v>1</v>
      </c>
      <c r="G41" s="43">
        <v>3</v>
      </c>
      <c r="H41" s="48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9"/>
      <c r="B42" s="50"/>
      <c r="C42" s="50"/>
      <c r="D42" s="50"/>
      <c r="E42" s="50"/>
      <c r="F42" s="50"/>
      <c r="G42" s="50"/>
      <c r="H42" s="51"/>
    </row>
    <row r="43" spans="1:10" ht="16.2" thickBot="1" x14ac:dyDescent="0.35">
      <c r="A43" s="52"/>
      <c r="B43" s="34" t="s">
        <v>1</v>
      </c>
      <c r="C43" s="34" t="s">
        <v>2</v>
      </c>
      <c r="D43" s="34" t="s">
        <v>3</v>
      </c>
      <c r="E43" s="35" t="s">
        <v>4</v>
      </c>
      <c r="F43" s="36" t="s">
        <v>5</v>
      </c>
      <c r="G43" s="36" t="s">
        <v>5</v>
      </c>
      <c r="H43" s="53" t="s">
        <v>6</v>
      </c>
    </row>
    <row r="44" spans="1:10" ht="16.2" thickBot="1" x14ac:dyDescent="0.35">
      <c r="A44" s="119" t="s">
        <v>35</v>
      </c>
      <c r="B44" s="37">
        <v>46187</v>
      </c>
      <c r="C44" s="38">
        <v>0.91666666666666663</v>
      </c>
      <c r="D44" s="39" t="s">
        <v>8</v>
      </c>
      <c r="E44" s="40" t="s">
        <v>36</v>
      </c>
      <c r="F44" s="54">
        <v>1</v>
      </c>
      <c r="G44" s="54">
        <v>2</v>
      </c>
      <c r="H44" s="48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0"/>
      <c r="B45" s="37">
        <v>46188</v>
      </c>
      <c r="C45" s="38">
        <v>0.16666666666666666</v>
      </c>
      <c r="D45" s="39" t="s">
        <v>8</v>
      </c>
      <c r="E45" s="40" t="s">
        <v>38</v>
      </c>
      <c r="F45" s="54">
        <v>1</v>
      </c>
      <c r="G45" s="54">
        <v>0</v>
      </c>
      <c r="H45" s="48" t="s">
        <v>39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120"/>
      <c r="B46" s="37">
        <v>46193</v>
      </c>
      <c r="C46" s="38">
        <v>0.79166666666666663</v>
      </c>
      <c r="D46" s="39" t="s">
        <v>13</v>
      </c>
      <c r="E46" s="40" t="s">
        <v>36</v>
      </c>
      <c r="F46" s="43">
        <v>0</v>
      </c>
      <c r="G46" s="43">
        <v>1</v>
      </c>
      <c r="H46" s="48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20"/>
      <c r="B47" s="37">
        <v>46194</v>
      </c>
      <c r="C47" s="38">
        <v>0.25</v>
      </c>
      <c r="D47" s="39" t="s">
        <v>13</v>
      </c>
      <c r="E47" s="40" t="s">
        <v>39</v>
      </c>
      <c r="F47" s="43">
        <v>0</v>
      </c>
      <c r="G47" s="43">
        <v>1</v>
      </c>
      <c r="H47" s="48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20"/>
      <c r="B48" s="37">
        <v>46199</v>
      </c>
      <c r="C48" s="38">
        <v>4.1666666666666664E-2</v>
      </c>
      <c r="D48" s="39" t="s">
        <v>14</v>
      </c>
      <c r="E48" s="40" t="s">
        <v>37</v>
      </c>
      <c r="F48" s="43">
        <v>1</v>
      </c>
      <c r="G48" s="43">
        <v>1</v>
      </c>
      <c r="H48" s="48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1"/>
      <c r="B49" s="44">
        <v>46199</v>
      </c>
      <c r="C49" s="45">
        <v>4.1666666666666664E-2</v>
      </c>
      <c r="D49" s="46" t="s">
        <v>14</v>
      </c>
      <c r="E49" s="47" t="s">
        <v>39</v>
      </c>
      <c r="F49" s="43">
        <v>0</v>
      </c>
      <c r="G49" s="43">
        <v>1</v>
      </c>
      <c r="H49" s="48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9"/>
      <c r="B50" s="50"/>
      <c r="C50" s="50"/>
      <c r="D50" s="50"/>
      <c r="E50" s="50"/>
      <c r="F50" s="50"/>
      <c r="G50" s="50"/>
      <c r="H50" s="51"/>
    </row>
    <row r="51" spans="1:10" ht="16.2" thickBot="1" x14ac:dyDescent="0.35">
      <c r="A51" s="52"/>
      <c r="B51" s="34" t="s">
        <v>1</v>
      </c>
      <c r="C51" s="34" t="s">
        <v>2</v>
      </c>
      <c r="D51" s="34" t="s">
        <v>3</v>
      </c>
      <c r="E51" s="35" t="s">
        <v>4</v>
      </c>
      <c r="F51" s="36" t="s">
        <v>5</v>
      </c>
      <c r="G51" s="36" t="s">
        <v>5</v>
      </c>
      <c r="H51" s="53" t="s">
        <v>6</v>
      </c>
    </row>
    <row r="52" spans="1:10" ht="16.2" thickBot="1" x14ac:dyDescent="0.35">
      <c r="A52" s="122" t="s">
        <v>40</v>
      </c>
      <c r="B52" s="37">
        <v>46188</v>
      </c>
      <c r="C52" s="38">
        <v>0.875</v>
      </c>
      <c r="D52" s="39" t="s">
        <v>8</v>
      </c>
      <c r="E52" s="40" t="s">
        <v>41</v>
      </c>
      <c r="F52" s="54">
        <v>2</v>
      </c>
      <c r="G52" s="54">
        <v>1</v>
      </c>
      <c r="H52" s="48" t="s">
        <v>42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123"/>
      <c r="B53" s="37">
        <v>46189</v>
      </c>
      <c r="C53" s="38">
        <v>0.125</v>
      </c>
      <c r="D53" s="39" t="s">
        <v>8</v>
      </c>
      <c r="E53" s="40" t="s">
        <v>43</v>
      </c>
      <c r="F53" s="54">
        <v>1</v>
      </c>
      <c r="G53" s="54">
        <v>1</v>
      </c>
      <c r="H53" s="48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123"/>
      <c r="B54" s="37">
        <v>46194</v>
      </c>
      <c r="C54" s="38">
        <v>0.875</v>
      </c>
      <c r="D54" s="39" t="s">
        <v>13</v>
      </c>
      <c r="E54" s="40" t="s">
        <v>41</v>
      </c>
      <c r="F54" s="43">
        <v>1</v>
      </c>
      <c r="G54" s="43">
        <v>1</v>
      </c>
      <c r="H54" s="48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23"/>
      <c r="B55" s="37">
        <v>46195</v>
      </c>
      <c r="C55" s="38">
        <v>0.125</v>
      </c>
      <c r="D55" s="39" t="s">
        <v>13</v>
      </c>
      <c r="E55" s="40" t="s">
        <v>44</v>
      </c>
      <c r="F55" s="43">
        <v>1</v>
      </c>
      <c r="G55" s="43">
        <v>1</v>
      </c>
      <c r="H55" s="48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23"/>
      <c r="B56" s="37">
        <v>46200</v>
      </c>
      <c r="C56" s="38">
        <v>0.20833333333333334</v>
      </c>
      <c r="D56" s="39" t="s">
        <v>14</v>
      </c>
      <c r="E56" s="40" t="s">
        <v>42</v>
      </c>
      <c r="F56" s="43">
        <v>0</v>
      </c>
      <c r="G56" s="43">
        <v>1</v>
      </c>
      <c r="H56" s="48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4"/>
      <c r="B57" s="44">
        <v>46200</v>
      </c>
      <c r="C57" s="45">
        <v>0.20833333333333334</v>
      </c>
      <c r="D57" s="46" t="s">
        <v>14</v>
      </c>
      <c r="E57" s="47" t="s">
        <v>44</v>
      </c>
      <c r="F57" s="43">
        <v>0</v>
      </c>
      <c r="G57" s="43">
        <v>2</v>
      </c>
      <c r="H57" s="48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9"/>
      <c r="B58" s="50"/>
      <c r="C58" s="50"/>
      <c r="D58" s="50"/>
      <c r="E58" s="50"/>
      <c r="F58" s="50"/>
      <c r="G58" s="50"/>
      <c r="H58" s="51"/>
    </row>
    <row r="59" spans="1:10" ht="16.2" thickBot="1" x14ac:dyDescent="0.35">
      <c r="A59" s="52"/>
      <c r="B59" s="34" t="s">
        <v>1</v>
      </c>
      <c r="C59" s="34" t="s">
        <v>2</v>
      </c>
      <c r="D59" s="34" t="s">
        <v>3</v>
      </c>
      <c r="E59" s="35" t="s">
        <v>4</v>
      </c>
      <c r="F59" s="36" t="s">
        <v>5</v>
      </c>
      <c r="G59" s="36" t="s">
        <v>5</v>
      </c>
      <c r="H59" s="53" t="s">
        <v>6</v>
      </c>
    </row>
    <row r="60" spans="1:10" ht="16.2" thickBot="1" x14ac:dyDescent="0.35">
      <c r="A60" s="125" t="s">
        <v>45</v>
      </c>
      <c r="B60" s="37">
        <v>46188</v>
      </c>
      <c r="C60" s="38">
        <v>0.75</v>
      </c>
      <c r="D60" s="39" t="s">
        <v>8</v>
      </c>
      <c r="E60" s="40" t="s">
        <v>46</v>
      </c>
      <c r="F60" s="54">
        <v>3</v>
      </c>
      <c r="G60" s="54">
        <v>0</v>
      </c>
      <c r="H60" s="48" t="s">
        <v>47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126"/>
      <c r="B61" s="37">
        <v>46189</v>
      </c>
      <c r="C61" s="38">
        <v>0</v>
      </c>
      <c r="D61" s="39" t="s">
        <v>8</v>
      </c>
      <c r="E61" s="40" t="s">
        <v>48</v>
      </c>
      <c r="F61" s="54">
        <v>1</v>
      </c>
      <c r="G61" s="54">
        <v>2</v>
      </c>
      <c r="H61" s="48" t="s">
        <v>49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126"/>
      <c r="B62" s="37">
        <v>46194</v>
      </c>
      <c r="C62" s="38">
        <v>0.75</v>
      </c>
      <c r="D62" s="39" t="s">
        <v>13</v>
      </c>
      <c r="E62" s="40" t="s">
        <v>46</v>
      </c>
      <c r="F62" s="43">
        <v>2</v>
      </c>
      <c r="G62" s="43">
        <v>0</v>
      </c>
      <c r="H62" s="48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26"/>
      <c r="B63" s="37">
        <v>46195</v>
      </c>
      <c r="C63" s="38">
        <v>0</v>
      </c>
      <c r="D63" s="39" t="s">
        <v>13</v>
      </c>
      <c r="E63" s="40" t="s">
        <v>49</v>
      </c>
      <c r="F63" s="43">
        <v>3</v>
      </c>
      <c r="G63" s="43">
        <v>0</v>
      </c>
      <c r="H63" s="48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26"/>
      <c r="B64" s="37">
        <v>46200</v>
      </c>
      <c r="C64" s="38">
        <v>8.3333333333333329E-2</v>
      </c>
      <c r="D64" s="39" t="s">
        <v>14</v>
      </c>
      <c r="E64" s="40" t="s">
        <v>47</v>
      </c>
      <c r="F64" s="43">
        <v>1</v>
      </c>
      <c r="G64" s="43">
        <v>1</v>
      </c>
      <c r="H64" s="48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27"/>
      <c r="B65" s="44">
        <v>46200</v>
      </c>
      <c r="C65" s="45">
        <v>8.3333333333333329E-2</v>
      </c>
      <c r="D65" s="46" t="s">
        <v>14</v>
      </c>
      <c r="E65" s="47" t="s">
        <v>49</v>
      </c>
      <c r="F65" s="43">
        <v>2</v>
      </c>
      <c r="G65" s="43">
        <v>2</v>
      </c>
      <c r="H65" s="48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9"/>
      <c r="B66" s="50"/>
      <c r="C66" s="50"/>
      <c r="D66" s="50"/>
      <c r="E66" s="50"/>
      <c r="F66" s="50"/>
      <c r="G66" s="50"/>
      <c r="H66" s="51"/>
    </row>
    <row r="67" spans="1:10" ht="16.2" thickBot="1" x14ac:dyDescent="0.35">
      <c r="A67" s="52"/>
      <c r="B67" s="34" t="s">
        <v>1</v>
      </c>
      <c r="C67" s="34" t="s">
        <v>2</v>
      </c>
      <c r="D67" s="34" t="s">
        <v>3</v>
      </c>
      <c r="E67" s="35" t="s">
        <v>4</v>
      </c>
      <c r="F67" s="36" t="s">
        <v>5</v>
      </c>
      <c r="G67" s="36" t="s">
        <v>5</v>
      </c>
      <c r="H67" s="53" t="s">
        <v>6</v>
      </c>
    </row>
    <row r="68" spans="1:10" ht="16.2" thickBot="1" x14ac:dyDescent="0.35">
      <c r="A68" s="128" t="s">
        <v>50</v>
      </c>
      <c r="B68" s="37">
        <v>46189</v>
      </c>
      <c r="C68" s="38">
        <v>0.875</v>
      </c>
      <c r="D68" s="39" t="s">
        <v>8</v>
      </c>
      <c r="E68" s="40" t="s">
        <v>51</v>
      </c>
      <c r="F68" s="54">
        <v>3</v>
      </c>
      <c r="G68" s="54">
        <v>1</v>
      </c>
      <c r="H68" s="48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129"/>
      <c r="B69" s="37">
        <v>46190</v>
      </c>
      <c r="C69" s="38">
        <v>0</v>
      </c>
      <c r="D69" s="39" t="s">
        <v>8</v>
      </c>
      <c r="E69" s="40" t="s">
        <v>53</v>
      </c>
      <c r="F69" s="54">
        <v>1</v>
      </c>
      <c r="G69" s="54">
        <v>2</v>
      </c>
      <c r="H69" s="48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129"/>
      <c r="B70" s="37">
        <v>46195</v>
      </c>
      <c r="C70" s="38">
        <v>0.95833333333333337</v>
      </c>
      <c r="D70" s="39" t="s">
        <v>13</v>
      </c>
      <c r="E70" s="40" t="s">
        <v>51</v>
      </c>
      <c r="F70" s="43">
        <v>3</v>
      </c>
      <c r="G70" s="43">
        <v>0</v>
      </c>
      <c r="H70" s="48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29"/>
      <c r="B71" s="37">
        <v>46196</v>
      </c>
      <c r="C71" s="38">
        <v>8.3333333333333329E-2</v>
      </c>
      <c r="D71" s="39" t="s">
        <v>13</v>
      </c>
      <c r="E71" s="40" t="s">
        <v>54</v>
      </c>
      <c r="F71" s="43">
        <v>2</v>
      </c>
      <c r="G71" s="43">
        <v>0</v>
      </c>
      <c r="H71" s="48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29"/>
      <c r="B72" s="37">
        <v>46199</v>
      </c>
      <c r="C72" s="38">
        <v>0.875</v>
      </c>
      <c r="D72" s="39" t="s">
        <v>14</v>
      </c>
      <c r="E72" s="40" t="s">
        <v>54</v>
      </c>
      <c r="F72" s="43">
        <v>1</v>
      </c>
      <c r="G72" s="43">
        <v>3</v>
      </c>
      <c r="H72" s="48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0"/>
      <c r="B73" s="44">
        <v>46199</v>
      </c>
      <c r="C73" s="45">
        <v>0.875</v>
      </c>
      <c r="D73" s="46" t="s">
        <v>14</v>
      </c>
      <c r="E73" s="47" t="s">
        <v>52</v>
      </c>
      <c r="F73" s="43">
        <v>1</v>
      </c>
      <c r="G73" s="43">
        <v>1</v>
      </c>
      <c r="H73" s="48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9"/>
      <c r="B74" s="50"/>
      <c r="C74" s="50"/>
      <c r="D74" s="50"/>
      <c r="E74" s="50"/>
      <c r="F74" s="50"/>
      <c r="G74" s="50"/>
      <c r="H74" s="51"/>
    </row>
    <row r="75" spans="1:10" ht="16.2" thickBot="1" x14ac:dyDescent="0.35">
      <c r="A75" s="52"/>
      <c r="B75" s="34" t="s">
        <v>1</v>
      </c>
      <c r="C75" s="34" t="s">
        <v>2</v>
      </c>
      <c r="D75" s="34" t="s">
        <v>3</v>
      </c>
      <c r="E75" s="35" t="s">
        <v>4</v>
      </c>
      <c r="F75" s="36" t="s">
        <v>5</v>
      </c>
      <c r="G75" s="36" t="s">
        <v>5</v>
      </c>
      <c r="H75" s="53" t="s">
        <v>6</v>
      </c>
    </row>
    <row r="76" spans="1:10" ht="16.2" thickBot="1" x14ac:dyDescent="0.35">
      <c r="A76" s="131" t="s">
        <v>55</v>
      </c>
      <c r="B76" s="37">
        <v>46190</v>
      </c>
      <c r="C76" s="38">
        <v>0.125</v>
      </c>
      <c r="D76" s="39" t="s">
        <v>8</v>
      </c>
      <c r="E76" s="40" t="s">
        <v>56</v>
      </c>
      <c r="F76" s="54">
        <v>3</v>
      </c>
      <c r="G76" s="54">
        <v>0</v>
      </c>
      <c r="H76" s="48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132"/>
      <c r="B77" s="37">
        <v>46190</v>
      </c>
      <c r="C77" s="38">
        <v>0.25</v>
      </c>
      <c r="D77" s="39" t="s">
        <v>8</v>
      </c>
      <c r="E77" s="40" t="s">
        <v>58</v>
      </c>
      <c r="F77" s="54">
        <v>1</v>
      </c>
      <c r="G77" s="54">
        <v>0</v>
      </c>
      <c r="H77" s="48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132"/>
      <c r="B78" s="37">
        <v>46195</v>
      </c>
      <c r="C78" s="38">
        <v>0.79166666666666663</v>
      </c>
      <c r="D78" s="39" t="s">
        <v>13</v>
      </c>
      <c r="E78" s="40" t="s">
        <v>56</v>
      </c>
      <c r="F78" s="43">
        <v>3</v>
      </c>
      <c r="G78" s="43">
        <v>1</v>
      </c>
      <c r="H78" s="48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32"/>
      <c r="B79" s="37">
        <v>46196</v>
      </c>
      <c r="C79" s="38">
        <v>0.20833333333333334</v>
      </c>
      <c r="D79" s="39" t="s">
        <v>13</v>
      </c>
      <c r="E79" s="40" t="s">
        <v>59</v>
      </c>
      <c r="F79" s="43">
        <v>0</v>
      </c>
      <c r="G79" s="43">
        <v>0</v>
      </c>
      <c r="H79" s="48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2"/>
      <c r="B80" s="37">
        <v>46201</v>
      </c>
      <c r="C80" s="38">
        <v>0.16666666666666666</v>
      </c>
      <c r="D80" s="39" t="s">
        <v>14</v>
      </c>
      <c r="E80" s="40" t="s">
        <v>57</v>
      </c>
      <c r="F80" s="43">
        <v>0</v>
      </c>
      <c r="G80" s="43">
        <v>1</v>
      </c>
      <c r="H80" s="48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3"/>
      <c r="B81" s="44">
        <v>46201</v>
      </c>
      <c r="C81" s="45">
        <v>0.16666666666666666</v>
      </c>
      <c r="D81" s="46" t="s">
        <v>14</v>
      </c>
      <c r="E81" s="47" t="s">
        <v>59</v>
      </c>
      <c r="F81" s="43">
        <v>0</v>
      </c>
      <c r="G81" s="43">
        <v>3</v>
      </c>
      <c r="H81" s="48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5"/>
      <c r="B82" s="55"/>
      <c r="C82" s="55"/>
      <c r="D82" s="55"/>
      <c r="E82" s="55"/>
      <c r="F82" s="55"/>
      <c r="G82" s="55"/>
      <c r="H82" s="56"/>
    </row>
    <row r="83" spans="1:10" ht="16.2" thickBot="1" x14ac:dyDescent="0.35">
      <c r="A83" s="52"/>
      <c r="B83" s="34" t="s">
        <v>1</v>
      </c>
      <c r="C83" s="34" t="s">
        <v>2</v>
      </c>
      <c r="D83" s="34" t="s">
        <v>3</v>
      </c>
      <c r="E83" s="35" t="s">
        <v>4</v>
      </c>
      <c r="F83" s="36" t="s">
        <v>5</v>
      </c>
      <c r="G83" s="36" t="s">
        <v>5</v>
      </c>
      <c r="H83" s="53" t="s">
        <v>6</v>
      </c>
    </row>
    <row r="84" spans="1:10" ht="16.2" thickBot="1" x14ac:dyDescent="0.35">
      <c r="A84" s="110" t="s">
        <v>60</v>
      </c>
      <c r="B84" s="37">
        <v>46190</v>
      </c>
      <c r="C84" s="38">
        <v>0.79166666666666663</v>
      </c>
      <c r="D84" s="39" t="s">
        <v>8</v>
      </c>
      <c r="E84" s="40" t="s">
        <v>61</v>
      </c>
      <c r="F84" s="54">
        <v>3</v>
      </c>
      <c r="G84" s="54">
        <v>0</v>
      </c>
      <c r="H84" s="48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111"/>
      <c r="B85" s="37">
        <v>46191</v>
      </c>
      <c r="C85" s="38">
        <v>0.16666666666666666</v>
      </c>
      <c r="D85" s="39" t="s">
        <v>8</v>
      </c>
      <c r="E85" s="40" t="s">
        <v>63</v>
      </c>
      <c r="F85" s="54">
        <v>0</v>
      </c>
      <c r="G85" s="54">
        <v>2</v>
      </c>
      <c r="H85" s="48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11"/>
      <c r="B86" s="37">
        <v>46196</v>
      </c>
      <c r="C86" s="38">
        <v>0.79166666666666663</v>
      </c>
      <c r="D86" s="39" t="s">
        <v>13</v>
      </c>
      <c r="E86" s="40" t="s">
        <v>61</v>
      </c>
      <c r="F86" s="43">
        <v>4</v>
      </c>
      <c r="G86" s="43">
        <v>1</v>
      </c>
      <c r="H86" s="48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1"/>
      <c r="B87" s="37">
        <v>46197</v>
      </c>
      <c r="C87" s="38">
        <v>0.16666666666666666</v>
      </c>
      <c r="D87" s="39" t="s">
        <v>13</v>
      </c>
      <c r="E87" s="40" t="s">
        <v>64</v>
      </c>
      <c r="F87" s="43">
        <v>3</v>
      </c>
      <c r="G87" s="43">
        <v>1</v>
      </c>
      <c r="H87" s="48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1"/>
      <c r="B88" s="37">
        <v>46201</v>
      </c>
      <c r="C88" s="38">
        <v>6.25E-2</v>
      </c>
      <c r="D88" s="39" t="s">
        <v>14</v>
      </c>
      <c r="E88" s="40" t="s">
        <v>64</v>
      </c>
      <c r="F88" s="43">
        <v>1</v>
      </c>
      <c r="G88" s="43">
        <v>2</v>
      </c>
      <c r="H88" s="48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2"/>
      <c r="B89" s="44">
        <v>46201</v>
      </c>
      <c r="C89" s="45">
        <v>6.25E-2</v>
      </c>
      <c r="D89" s="46" t="s">
        <v>14</v>
      </c>
      <c r="E89" s="47" t="s">
        <v>62</v>
      </c>
      <c r="F89" s="43">
        <v>0</v>
      </c>
      <c r="G89" s="43">
        <v>0</v>
      </c>
      <c r="H89" s="48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9"/>
      <c r="B90" s="50"/>
      <c r="C90" s="50"/>
      <c r="D90" s="50"/>
      <c r="E90" s="50"/>
      <c r="F90" s="50"/>
      <c r="G90" s="50"/>
      <c r="H90" s="51"/>
    </row>
    <row r="91" spans="1:10" ht="16.2" thickBot="1" x14ac:dyDescent="0.35">
      <c r="A91" s="52"/>
      <c r="B91" s="34" t="s">
        <v>1</v>
      </c>
      <c r="C91" s="34" t="s">
        <v>2</v>
      </c>
      <c r="D91" s="34" t="s">
        <v>3</v>
      </c>
      <c r="E91" s="35" t="s">
        <v>4</v>
      </c>
      <c r="F91" s="36" t="s">
        <v>5</v>
      </c>
      <c r="G91" s="36" t="s">
        <v>5</v>
      </c>
      <c r="H91" s="53" t="s">
        <v>6</v>
      </c>
    </row>
    <row r="92" spans="1:10" ht="16.2" thickBot="1" x14ac:dyDescent="0.35">
      <c r="A92" s="113" t="s">
        <v>65</v>
      </c>
      <c r="B92" s="37">
        <v>46190</v>
      </c>
      <c r="C92" s="38">
        <v>0.91666666666666663</v>
      </c>
      <c r="D92" s="39" t="s">
        <v>8</v>
      </c>
      <c r="E92" s="40" t="s">
        <v>66</v>
      </c>
      <c r="F92" s="54">
        <v>2</v>
      </c>
      <c r="G92" s="54">
        <v>2</v>
      </c>
      <c r="H92" s="48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114"/>
      <c r="B93" s="37">
        <v>46191</v>
      </c>
      <c r="C93" s="38">
        <v>4.1666666666666664E-2</v>
      </c>
      <c r="D93" s="39" t="s">
        <v>8</v>
      </c>
      <c r="E93" s="40" t="s">
        <v>68</v>
      </c>
      <c r="F93" s="54">
        <v>1</v>
      </c>
      <c r="G93" s="54">
        <v>2</v>
      </c>
      <c r="H93" s="48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114"/>
      <c r="B94" s="37">
        <v>46196</v>
      </c>
      <c r="C94" s="38">
        <v>0.91666666666666663</v>
      </c>
      <c r="D94" s="39" t="s">
        <v>13</v>
      </c>
      <c r="E94" s="40" t="s">
        <v>66</v>
      </c>
      <c r="F94" s="43">
        <v>2</v>
      </c>
      <c r="G94" s="43">
        <v>0</v>
      </c>
      <c r="H94" s="48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4"/>
      <c r="B95" s="37">
        <v>46197</v>
      </c>
      <c r="C95" s="38">
        <v>4.1666666666666664E-2</v>
      </c>
      <c r="D95" s="39" t="s">
        <v>13</v>
      </c>
      <c r="E95" s="40" t="s">
        <v>69</v>
      </c>
      <c r="F95" s="43">
        <v>1</v>
      </c>
      <c r="G95" s="43">
        <v>1</v>
      </c>
      <c r="H95" s="48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4"/>
      <c r="B96" s="37">
        <v>46200</v>
      </c>
      <c r="C96" s="38">
        <v>0.95833333333333337</v>
      </c>
      <c r="D96" s="39" t="s">
        <v>14</v>
      </c>
      <c r="E96" s="40" t="s">
        <v>69</v>
      </c>
      <c r="F96" s="43">
        <v>1</v>
      </c>
      <c r="G96" s="43">
        <v>2</v>
      </c>
      <c r="H96" s="48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15"/>
      <c r="B97" s="44">
        <v>46200</v>
      </c>
      <c r="C97" s="45">
        <v>0.95833333333333337</v>
      </c>
      <c r="D97" s="46" t="s">
        <v>14</v>
      </c>
      <c r="E97" s="47" t="s">
        <v>67</v>
      </c>
      <c r="F97" s="43">
        <v>2</v>
      </c>
      <c r="G97" s="43">
        <v>0</v>
      </c>
      <c r="H97" s="48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zoomScale="96" workbookViewId="0">
      <selection activeCell="I1" sqref="I1:L1048576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2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8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8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6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1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2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4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7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0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3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6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6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zoomScale="121" workbookViewId="0">
      <selection activeCell="I1" sqref="I1:L1048576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2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8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8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6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1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2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4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7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0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3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6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6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zoomScale="115" zoomScaleNormal="115" workbookViewId="0">
      <selection activeCell="N12" sqref="N12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2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1</v>
      </c>
      <c r="G21" s="26">
        <v>3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8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8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6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1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2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4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7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/>
      <c r="G60" s="26"/>
      <c r="H60" s="21" t="s">
        <v>47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7">
        <v>46189</v>
      </c>
      <c r="C61" s="8">
        <v>0</v>
      </c>
      <c r="D61" s="9" t="s">
        <v>8</v>
      </c>
      <c r="E61" s="10" t="s">
        <v>48</v>
      </c>
      <c r="F61" s="26"/>
      <c r="G61" s="26"/>
      <c r="H61" s="21" t="s">
        <v>49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0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/>
      <c r="G68" s="26"/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7">
        <v>46190</v>
      </c>
      <c r="C69" s="8">
        <v>0</v>
      </c>
      <c r="D69" s="9" t="s">
        <v>8</v>
      </c>
      <c r="E69" s="10" t="s">
        <v>53</v>
      </c>
      <c r="F69" s="26"/>
      <c r="G69" s="26"/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3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/>
      <c r="G76" s="26"/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7">
        <v>46190</v>
      </c>
      <c r="C77" s="8">
        <v>0.25</v>
      </c>
      <c r="D77" s="9" t="s">
        <v>8</v>
      </c>
      <c r="E77" s="10" t="s">
        <v>58</v>
      </c>
      <c r="F77" s="26"/>
      <c r="G77" s="26"/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6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/>
      <c r="G84" s="26"/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7">
        <v>46191</v>
      </c>
      <c r="C85" s="8">
        <v>0.16666666666666666</v>
      </c>
      <c r="D85" s="9" t="s">
        <v>8</v>
      </c>
      <c r="E85" s="10" t="s">
        <v>63</v>
      </c>
      <c r="F85" s="26"/>
      <c r="G85" s="26"/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6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/>
      <c r="G92" s="26"/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7">
        <v>46191</v>
      </c>
      <c r="C93" s="8">
        <v>4.1666666666666664E-2</v>
      </c>
      <c r="D93" s="9" t="s">
        <v>8</v>
      </c>
      <c r="E93" s="10" t="s">
        <v>68</v>
      </c>
      <c r="F93" s="26"/>
      <c r="G93" s="26"/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zoomScale="137" workbookViewId="0">
      <selection activeCell="I15" sqref="I1:L1048576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2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8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8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6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1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72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4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7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0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3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6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6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20" zoomScale="130" workbookViewId="0">
      <selection activeCell="J27" sqref="J2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2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8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87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8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6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1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2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4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7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0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3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6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6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topLeftCell="A34" zoomScale="139" workbookViewId="0">
      <selection activeCell="K45" sqref="K4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2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5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8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87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6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1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2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4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7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0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3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6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6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topLeftCell="A47" zoomScale="126" workbookViewId="0">
      <selection activeCell="M26" sqref="M26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2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8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87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6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1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2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4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7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0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3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6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6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</cp:lastModifiedBy>
  <cp:lastPrinted>2026-06-14T01:53:30Z</cp:lastPrinted>
  <dcterms:created xsi:type="dcterms:W3CDTF">2026-06-14T01:28:55Z</dcterms:created>
  <dcterms:modified xsi:type="dcterms:W3CDTF">2026-06-14T23:06:53Z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