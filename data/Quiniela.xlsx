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980172C7-F52C-4881-9CD5-2B416E024D10}" xr6:coauthVersionLast="47" xr6:coauthVersionMax="47" xr10:uidLastSave="{00000000-0000-0000-0000-000000000000}"/>
  <bookViews>
    <workbookView xWindow="-108" yWindow="-108" windowWidth="23256" windowHeight="13896" activeTab="1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<sst xmlns="http://schemas.openxmlformats.org/spreadsheetml/2006/main" count="3164" uniqueCount="87">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</sst>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0" fontId="1" fillId="25" borderId="0" xfId="0" applyFont="1" applyFill="1" applyAlignment="1" applyProtection="1">
      <alignment horizontal="center" vertical="center"/>
      <protection locked="0"/>
    </xf>
    <xf numFmtId="0" fontId="1" fillId="21" borderId="0" xfId="0" applyFont="1" applyFill="1" applyAlignment="1" applyProtection="1">
      <alignment horizontal="center" vertical="center"/>
      <protection locked="0"/>
    </xf>
    <xf numFmtId="0" fontId="5" fillId="23" borderId="9" xfId="0" applyFont="1" applyFill="1" applyBorder="1" applyAlignment="1" applyProtection="1">
      <alignment horizontal="center" vertical="center"/>
      <protection locked="0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opLeftCell="A78" zoomScale="115" zoomScaleNormal="115" workbookViewId="0">
      <selection activeCell="K84" sqref="K84"/>
    </sheetView>
  </sheetViews>
  <sheetFormatPr baseColWidth="10" defaultRowHeight="15.6" x14ac:dyDescent="0.3"/>
  <cols>
    <col min="1" max="1" width="2.109375" style="1" bestFit="1" customWidth="1"/>
    <col min="2" max="2" width="11.21875" style="1" bestFit="1" customWidth="1"/>
    <col min="3" max="3" width="4.77734375" style="1" bestFit="1" customWidth="1"/>
    <col min="4" max="4" width="3.6640625" style="1" bestFit="1" customWidth="1"/>
    <col min="5" max="5" width="17.21875" style="2" bestFit="1" customWidth="1"/>
    <col min="6" max="7" width="3.44140625" style="2" bestFit="1" customWidth="1"/>
    <col min="8" max="8" width="17.21875" style="1" bestFit="1" customWidth="1"/>
    <col min="9" max="16384" width="11.5546875" style="1"/>
  </cols>
  <sheetData>
    <row r="1" spans="1:8" ht="25.8" thickBot="1" x14ac:dyDescent="0.35">
      <c r="A1" s="73" t="s">
        <v>0</v>
      </c>
      <c r="B1" s="74"/>
      <c r="C1" s="74"/>
      <c r="D1" s="74"/>
      <c r="E1" s="74"/>
      <c r="F1" s="74"/>
      <c r="G1" s="74"/>
      <c r="H1" s="75"/>
    </row>
    <row r="2" spans="1:8" ht="16.2" thickBot="1" x14ac:dyDescent="0.35">
      <c r="A2" s="76"/>
      <c r="B2" s="77"/>
      <c r="C2" s="77"/>
      <c r="D2" s="77"/>
      <c r="E2" s="77"/>
      <c r="F2" s="77"/>
      <c r="G2" s="77"/>
      <c r="H2" s="78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100" t="s">
        <v>7</v>
      </c>
      <c r="B4" s="7">
        <v>46184</v>
      </c>
      <c r="C4" s="8">
        <v>0.875</v>
      </c>
      <c r="D4" s="9" t="s">
        <v>8</v>
      </c>
      <c r="E4" s="2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101"/>
      <c r="B5" s="7">
        <v>46185</v>
      </c>
      <c r="C5" s="8">
        <v>0.16666666666666666</v>
      </c>
      <c r="D5" s="9" t="s">
        <v>8</v>
      </c>
      <c r="E5" s="2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101"/>
      <c r="B6" s="7">
        <v>46191</v>
      </c>
      <c r="C6" s="8">
        <v>0.75</v>
      </c>
      <c r="D6" s="9" t="s">
        <v>13</v>
      </c>
      <c r="E6" s="61" t="s">
        <v>12</v>
      </c>
      <c r="F6" s="66">
        <v>1</v>
      </c>
      <c r="G6" s="66">
        <v>1</v>
      </c>
      <c r="H6" s="61" t="s">
        <v>10</v>
      </c>
    </row>
    <row r="7" spans="1:8" ht="16.2" thickBot="1" x14ac:dyDescent="0.35">
      <c r="A7" s="101"/>
      <c r="B7" s="7">
        <v>46192</v>
      </c>
      <c r="C7" s="8">
        <v>0.125</v>
      </c>
      <c r="D7" s="9" t="s">
        <v>13</v>
      </c>
      <c r="E7" s="27" t="s">
        <v>9</v>
      </c>
      <c r="F7" s="66">
        <v>1</v>
      </c>
      <c r="G7" s="66">
        <v>0</v>
      </c>
      <c r="H7" s="20" t="s">
        <v>11</v>
      </c>
    </row>
    <row r="8" spans="1:8" ht="16.2" thickBot="1" x14ac:dyDescent="0.35">
      <c r="A8" s="101"/>
      <c r="B8" s="7">
        <v>46198</v>
      </c>
      <c r="C8" s="8">
        <v>0.125</v>
      </c>
      <c r="D8" s="9" t="s">
        <v>14</v>
      </c>
      <c r="E8" s="10" t="s">
        <v>12</v>
      </c>
      <c r="F8" s="25"/>
      <c r="G8" s="25"/>
      <c r="H8" s="20" t="s">
        <v>9</v>
      </c>
    </row>
    <row r="9" spans="1:8" ht="16.2" thickBot="1" x14ac:dyDescent="0.35">
      <c r="A9" s="102"/>
      <c r="B9" s="12">
        <v>46198</v>
      </c>
      <c r="C9" s="13">
        <v>0.125</v>
      </c>
      <c r="D9" s="14" t="s">
        <v>14</v>
      </c>
      <c r="E9" s="15" t="s">
        <v>10</v>
      </c>
      <c r="F9" s="25"/>
      <c r="G9" s="25"/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103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104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104"/>
      <c r="B14" s="7">
        <v>46191</v>
      </c>
      <c r="C14" s="8">
        <v>0.875</v>
      </c>
      <c r="D14" s="9" t="s">
        <v>13</v>
      </c>
      <c r="E14" s="27" t="s">
        <v>19</v>
      </c>
      <c r="F14" s="66">
        <v>4</v>
      </c>
      <c r="G14" s="66">
        <v>1</v>
      </c>
      <c r="H14" s="21" t="s">
        <v>17</v>
      </c>
    </row>
    <row r="15" spans="1:8" ht="16.2" thickBot="1" x14ac:dyDescent="0.35">
      <c r="A15" s="104"/>
      <c r="B15" s="7">
        <v>46192</v>
      </c>
      <c r="C15" s="8">
        <v>0</v>
      </c>
      <c r="D15" s="9" t="s">
        <v>13</v>
      </c>
      <c r="E15" s="27" t="s">
        <v>16</v>
      </c>
      <c r="F15" s="66">
        <v>6</v>
      </c>
      <c r="G15" s="66">
        <v>0</v>
      </c>
      <c r="H15" s="21" t="s">
        <v>18</v>
      </c>
    </row>
    <row r="16" spans="1:8" ht="16.2" thickBot="1" x14ac:dyDescent="0.35">
      <c r="A16" s="104"/>
      <c r="B16" s="7">
        <v>46197</v>
      </c>
      <c r="C16" s="8">
        <v>0.875</v>
      </c>
      <c r="D16" s="9" t="s">
        <v>14</v>
      </c>
      <c r="E16" s="10" t="s">
        <v>19</v>
      </c>
      <c r="F16" s="25"/>
      <c r="G16" s="25"/>
      <c r="H16" s="21" t="s">
        <v>16</v>
      </c>
    </row>
    <row r="17" spans="1:8" ht="16.2" thickBot="1" x14ac:dyDescent="0.35">
      <c r="A17" s="105"/>
      <c r="B17" s="12">
        <v>46197</v>
      </c>
      <c r="C17" s="13">
        <v>0.875</v>
      </c>
      <c r="D17" s="14" t="s">
        <v>14</v>
      </c>
      <c r="E17" s="15" t="s">
        <v>17</v>
      </c>
      <c r="F17" s="25"/>
      <c r="G17" s="25"/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6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107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27" t="s">
        <v>24</v>
      </c>
    </row>
    <row r="22" spans="1:8" ht="16.2" thickBot="1" x14ac:dyDescent="0.35">
      <c r="A22" s="107"/>
      <c r="B22" s="7">
        <v>46193</v>
      </c>
      <c r="C22" s="8">
        <v>0</v>
      </c>
      <c r="D22" s="9" t="s">
        <v>13</v>
      </c>
      <c r="E22" s="10" t="s">
        <v>24</v>
      </c>
      <c r="F22" s="66">
        <v>0</v>
      </c>
      <c r="G22" s="66">
        <v>1</v>
      </c>
      <c r="H22" s="27" t="s">
        <v>22</v>
      </c>
    </row>
    <row r="23" spans="1:8" ht="16.2" thickBot="1" x14ac:dyDescent="0.35">
      <c r="A23" s="107"/>
      <c r="B23" s="7">
        <v>46193</v>
      </c>
      <c r="C23" s="8">
        <v>0.10416666666666667</v>
      </c>
      <c r="D23" s="9" t="s">
        <v>13</v>
      </c>
      <c r="E23" s="27" t="s">
        <v>21</v>
      </c>
      <c r="F23" s="66">
        <v>3</v>
      </c>
      <c r="G23" s="66">
        <v>0</v>
      </c>
      <c r="H23" s="21" t="s">
        <v>23</v>
      </c>
    </row>
    <row r="24" spans="1:8" ht="16.2" thickBot="1" x14ac:dyDescent="0.35">
      <c r="A24" s="107"/>
      <c r="B24" s="7">
        <v>46198</v>
      </c>
      <c r="C24" s="8">
        <v>0</v>
      </c>
      <c r="D24" s="9" t="s">
        <v>14</v>
      </c>
      <c r="E24" s="10" t="s">
        <v>24</v>
      </c>
      <c r="F24" s="25"/>
      <c r="G24" s="25"/>
      <c r="H24" s="21" t="s">
        <v>21</v>
      </c>
    </row>
    <row r="25" spans="1:8" ht="16.2" thickBot="1" x14ac:dyDescent="0.35">
      <c r="A25" s="108"/>
      <c r="B25" s="12">
        <v>46198</v>
      </c>
      <c r="C25" s="13">
        <v>0</v>
      </c>
      <c r="D25" s="14" t="s">
        <v>14</v>
      </c>
      <c r="E25" s="15" t="s">
        <v>22</v>
      </c>
      <c r="F25" s="25"/>
      <c r="G25" s="25"/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09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10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10"/>
      <c r="B30" s="7">
        <v>46192</v>
      </c>
      <c r="C30" s="8">
        <v>0.875</v>
      </c>
      <c r="D30" s="9" t="s">
        <v>13</v>
      </c>
      <c r="E30" s="27" t="s">
        <v>26</v>
      </c>
      <c r="F30" s="66">
        <v>2</v>
      </c>
      <c r="G30" s="66">
        <v>0</v>
      </c>
      <c r="H30" s="21" t="s">
        <v>28</v>
      </c>
    </row>
    <row r="31" spans="1:8" ht="16.2" thickBot="1" x14ac:dyDescent="0.35">
      <c r="A31" s="110"/>
      <c r="B31" s="7">
        <v>46193</v>
      </c>
      <c r="C31" s="8">
        <v>0.20833333333333334</v>
      </c>
      <c r="D31" s="9" t="s">
        <v>13</v>
      </c>
      <c r="E31" s="10" t="s">
        <v>29</v>
      </c>
      <c r="F31" s="66">
        <v>0</v>
      </c>
      <c r="G31" s="66">
        <v>1</v>
      </c>
      <c r="H31" s="27" t="s">
        <v>27</v>
      </c>
    </row>
    <row r="32" spans="1:8" ht="16.2" thickBot="1" x14ac:dyDescent="0.35">
      <c r="A32" s="110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111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12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13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13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</row>
    <row r="39" spans="1:8" ht="16.2" thickBot="1" x14ac:dyDescent="0.35">
      <c r="A39" s="113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</row>
    <row r="40" spans="1:8" ht="16.2" thickBot="1" x14ac:dyDescent="0.35">
      <c r="A40" s="113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114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82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83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83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</row>
    <row r="47" spans="1:8" ht="16.2" thickBot="1" x14ac:dyDescent="0.35">
      <c r="A47" s="83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</row>
    <row r="48" spans="1:8" ht="16.2" thickBot="1" x14ac:dyDescent="0.35">
      <c r="A48" s="83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84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85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86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86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</row>
    <row r="55" spans="1:8" ht="16.2" thickBot="1" x14ac:dyDescent="0.35">
      <c r="A55" s="86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</row>
    <row r="56" spans="1:8" ht="16.2" thickBot="1" x14ac:dyDescent="0.35">
      <c r="A56" s="86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87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88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89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89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</row>
    <row r="63" spans="1:8" ht="16.2" thickBot="1" x14ac:dyDescent="0.35">
      <c r="A63" s="89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</row>
    <row r="64" spans="1:8" ht="16.2" thickBot="1" x14ac:dyDescent="0.35">
      <c r="A64" s="89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90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91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92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27" t="s">
        <v>54</v>
      </c>
    </row>
    <row r="70" spans="1:8" ht="16.2" thickBot="1" x14ac:dyDescent="0.35">
      <c r="A70" s="92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</row>
    <row r="71" spans="1:8" ht="16.2" thickBot="1" x14ac:dyDescent="0.35">
      <c r="A71" s="92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</row>
    <row r="72" spans="1:8" ht="16.2" thickBot="1" x14ac:dyDescent="0.35">
      <c r="A72" s="92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93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94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95"/>
      <c r="B77" s="7">
        <v>46190</v>
      </c>
      <c r="C77" s="8">
        <v>0.25</v>
      </c>
      <c r="D77" s="9" t="s">
        <v>8</v>
      </c>
      <c r="E77" s="27" t="s">
        <v>58</v>
      </c>
      <c r="F77" s="62">
        <v>3</v>
      </c>
      <c r="G77" s="62">
        <v>1</v>
      </c>
      <c r="H77" s="21" t="s">
        <v>59</v>
      </c>
    </row>
    <row r="78" spans="1:8" ht="16.2" thickBot="1" x14ac:dyDescent="0.35">
      <c r="A78" s="95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</row>
    <row r="79" spans="1:8" ht="16.2" thickBot="1" x14ac:dyDescent="0.35">
      <c r="A79" s="95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</row>
    <row r="80" spans="1:8" ht="16.2" thickBot="1" x14ac:dyDescent="0.35">
      <c r="A80" s="95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96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97" t="s">
        <v>60</v>
      </c>
      <c r="B84" s="7">
        <v>46190</v>
      </c>
      <c r="C84" s="8">
        <v>0.79166666666666663</v>
      </c>
      <c r="D84" s="9" t="s">
        <v>8</v>
      </c>
      <c r="E84" s="61" t="s">
        <v>61</v>
      </c>
      <c r="F84" s="62">
        <v>1</v>
      </c>
      <c r="G84" s="62">
        <v>1</v>
      </c>
      <c r="H84" s="61" t="s">
        <v>62</v>
      </c>
    </row>
    <row r="85" spans="1:8" ht="16.2" thickBot="1" x14ac:dyDescent="0.35">
      <c r="A85" s="98"/>
      <c r="B85" s="7">
        <v>46191</v>
      </c>
      <c r="C85" s="8">
        <v>0.16666666666666666</v>
      </c>
      <c r="D85" s="9" t="s">
        <v>8</v>
      </c>
      <c r="E85" s="10" t="s">
        <v>63</v>
      </c>
      <c r="F85" s="62">
        <v>1</v>
      </c>
      <c r="G85" s="62">
        <v>3</v>
      </c>
      <c r="H85" s="27" t="s">
        <v>64</v>
      </c>
    </row>
    <row r="86" spans="1:8" ht="16.2" thickBot="1" x14ac:dyDescent="0.35">
      <c r="A86" s="98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</row>
    <row r="87" spans="1:8" ht="16.2" thickBot="1" x14ac:dyDescent="0.35">
      <c r="A87" s="98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</row>
    <row r="88" spans="1:8" ht="16.2" thickBot="1" x14ac:dyDescent="0.35">
      <c r="A88" s="98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99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79" t="s">
        <v>65</v>
      </c>
      <c r="B92" s="7">
        <v>46190</v>
      </c>
      <c r="C92" s="8">
        <v>0.91666666666666663</v>
      </c>
      <c r="D92" s="9" t="s">
        <v>8</v>
      </c>
      <c r="E92" s="27" t="s">
        <v>66</v>
      </c>
      <c r="F92" s="62">
        <v>4</v>
      </c>
      <c r="G92" s="62">
        <v>2</v>
      </c>
      <c r="H92" s="21" t="s">
        <v>67</v>
      </c>
    </row>
    <row r="93" spans="1:8" ht="16.2" thickBot="1" x14ac:dyDescent="0.35">
      <c r="A93" s="80"/>
      <c r="B93" s="7">
        <v>46191</v>
      </c>
      <c r="C93" s="8">
        <v>4.1666666666666664E-2</v>
      </c>
      <c r="D93" s="9" t="s">
        <v>8</v>
      </c>
      <c r="E93" s="27" t="s">
        <v>68</v>
      </c>
      <c r="F93" s="62">
        <v>1</v>
      </c>
      <c r="G93" s="62">
        <v>0</v>
      </c>
      <c r="H93" s="21" t="s">
        <v>69</v>
      </c>
    </row>
    <row r="94" spans="1:8" ht="16.2" thickBot="1" x14ac:dyDescent="0.35">
      <c r="A94" s="80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</row>
    <row r="95" spans="1:8" ht="16.2" thickBot="1" x14ac:dyDescent="0.35">
      <c r="A95" s="80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</row>
    <row r="96" spans="1:8" ht="16.2" thickBot="1" x14ac:dyDescent="0.35">
      <c r="A96" s="80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81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tabSelected="1" zoomScale="131" workbookViewId="0">
      <selection activeCell="J9" sqref="J9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67" t="s">
        <v>74</v>
      </c>
      <c r="E1" s="68"/>
      <c r="F1" s="69"/>
    </row>
    <row r="2" spans="1:6" x14ac:dyDescent="0.3">
      <c r="D2" s="70" t="s">
        <v>75</v>
      </c>
      <c r="E2" s="71"/>
      <c r="F2" s="72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18</v>
      </c>
      <c r="D5" s="59">
        <v>1</v>
      </c>
      <c r="E5" s="59" t="str" cm="1">
        <f t="array" ref="E5:F13">_xlfn._xlws.SORT(A5:B13,2,-1)</f>
        <v>Erik</v>
      </c>
      <c r="F5" s="59">
        <v>22</v>
      </c>
    </row>
    <row r="6" spans="1:6" x14ac:dyDescent="0.3">
      <c r="A6" s="58" t="s">
        <v>77</v>
      </c>
      <c r="B6" s="58">
        <f>Wendy!L4</f>
        <v>19</v>
      </c>
      <c r="D6" s="55">
        <v>2</v>
      </c>
      <c r="E6" s="55" t="str">
        <v>Bere</v>
      </c>
      <c r="F6" s="55">
        <v>21</v>
      </c>
    </row>
    <row r="7" spans="1:6" x14ac:dyDescent="0.3">
      <c r="A7" s="58" t="s">
        <v>79</v>
      </c>
      <c r="B7" s="58">
        <f>Jimmy!L4</f>
        <v>18</v>
      </c>
      <c r="D7" s="56">
        <v>3</v>
      </c>
      <c r="E7" s="56" t="str">
        <v>Packy</v>
      </c>
      <c r="F7" s="56">
        <v>20</v>
      </c>
    </row>
    <row r="8" spans="1:6" x14ac:dyDescent="0.3">
      <c r="A8" s="58" t="s">
        <v>81</v>
      </c>
      <c r="B8" s="58">
        <f>Erick!L4</f>
        <v>14</v>
      </c>
      <c r="D8" s="28">
        <v>4</v>
      </c>
      <c r="E8" s="28" t="str">
        <v>Wendy</v>
      </c>
      <c r="F8" s="28">
        <v>19</v>
      </c>
    </row>
    <row r="9" spans="1:6" x14ac:dyDescent="0.3">
      <c r="A9" s="58" t="s">
        <v>82</v>
      </c>
      <c r="B9" s="58">
        <f>Erik!L4</f>
        <v>22</v>
      </c>
      <c r="D9" s="28">
        <v>5</v>
      </c>
      <c r="E9" s="28" t="str">
        <v>Cindy</v>
      </c>
      <c r="F9" s="28">
        <v>18</v>
      </c>
    </row>
    <row r="10" spans="1:6" x14ac:dyDescent="0.3">
      <c r="A10" s="58" t="s">
        <v>83</v>
      </c>
      <c r="B10" s="58">
        <f>Lennon!L4</f>
        <v>16</v>
      </c>
      <c r="D10" s="28">
        <v>6</v>
      </c>
      <c r="E10" s="28" t="str">
        <v>Jimmy</v>
      </c>
      <c r="F10" s="28">
        <v>18</v>
      </c>
    </row>
    <row r="11" spans="1:6" x14ac:dyDescent="0.3">
      <c r="A11" s="58" t="s">
        <v>84</v>
      </c>
      <c r="B11" s="58">
        <f>Yulian!L4</f>
        <v>15</v>
      </c>
      <c r="D11" s="28">
        <v>7</v>
      </c>
      <c r="E11" s="28" t="str">
        <v>Lennon</v>
      </c>
      <c r="F11" s="28">
        <v>16</v>
      </c>
    </row>
    <row r="12" spans="1:6" x14ac:dyDescent="0.3">
      <c r="A12" s="58" t="s">
        <v>78</v>
      </c>
      <c r="B12" s="58">
        <f>Packy!L4</f>
        <v>20</v>
      </c>
      <c r="D12" s="28">
        <v>8</v>
      </c>
      <c r="E12" s="28" t="str">
        <v>Yulian</v>
      </c>
      <c r="F12" s="28">
        <v>15</v>
      </c>
    </row>
    <row r="13" spans="1:6" x14ac:dyDescent="0.3">
      <c r="A13" s="58" t="s">
        <v>80</v>
      </c>
      <c r="B13" s="58">
        <f>Bere!L4</f>
        <v>21</v>
      </c>
      <c r="D13" s="28">
        <v>9</v>
      </c>
      <c r="E13" s="28" t="str">
        <v>Erick</v>
      </c>
      <c r="F13" s="28">
        <v>14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83" zoomScaleNormal="100" workbookViewId="0">
      <selection activeCell="J30" sqref="J30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3" t="s">
        <v>0</v>
      </c>
      <c r="B1" s="74"/>
      <c r="C1" s="74"/>
      <c r="D1" s="74"/>
      <c r="E1" s="74"/>
      <c r="F1" s="74"/>
      <c r="G1" s="74"/>
      <c r="H1" s="75"/>
    </row>
    <row r="2" spans="1:12" ht="16.2" thickBot="1" x14ac:dyDescent="0.35">
      <c r="A2" s="76"/>
      <c r="B2" s="77"/>
      <c r="C2" s="77"/>
      <c r="D2" s="77"/>
      <c r="E2" s="77"/>
      <c r="F2" s="77"/>
      <c r="G2" s="77"/>
      <c r="H2" s="78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42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18</v>
      </c>
    </row>
    <row r="5" spans="1:12" ht="16.2" thickBot="1" x14ac:dyDescent="0.35">
      <c r="A5" s="143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43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43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1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43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44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45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6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6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46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46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47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48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49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49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49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49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50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39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40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40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40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40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41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21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22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22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22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22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23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24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5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5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25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25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6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27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8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28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28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28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29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30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31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31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31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31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32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33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34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34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34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34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5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36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37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37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37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37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8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15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16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16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16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16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7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18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19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119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19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19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20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75" zoomScaleNormal="100" workbookViewId="0">
      <selection activeCell="K88" sqref="K88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73" t="s">
        <v>0</v>
      </c>
      <c r="B1" s="74"/>
      <c r="C1" s="74"/>
      <c r="D1" s="74"/>
      <c r="E1" s="74"/>
      <c r="F1" s="74"/>
      <c r="G1" s="74"/>
      <c r="H1" s="75"/>
    </row>
    <row r="2" spans="1:12" ht="16.2" thickBot="1" x14ac:dyDescent="0.35">
      <c r="A2" s="76"/>
      <c r="B2" s="77"/>
      <c r="C2" s="77"/>
      <c r="D2" s="77"/>
      <c r="E2" s="77"/>
      <c r="F2" s="77"/>
      <c r="G2" s="77"/>
      <c r="H2" s="78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42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19</v>
      </c>
    </row>
    <row r="5" spans="1:12" ht="16.2" thickBot="1" x14ac:dyDescent="0.35">
      <c r="A5" s="143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43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43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1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43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44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45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6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6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46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46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47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48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49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49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0</v>
      </c>
    </row>
    <row r="23" spans="1:10" ht="16.2" thickBot="1" x14ac:dyDescent="0.35">
      <c r="A23" s="149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49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50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39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40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40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40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64">
        <f>IF(OR(Resultados!F31="",Resultados!G31=""),"",IF(AND(F31=Resultados!F31,G31=Resultados!G31),2,IF(((F31&gt;G31)=(Resultados!F31&gt;Resultados!G31))*((F31&lt;G31)=(Resultados!F31&lt;Resultados!G31)),1,0)))</f>
        <v>2</v>
      </c>
    </row>
    <row r="32" spans="1:10" ht="16.2" thickBot="1" x14ac:dyDescent="0.35">
      <c r="A32" s="140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41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21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22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22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22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22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23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24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5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5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25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25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6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27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8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28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28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28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29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30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31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31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31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31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32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33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34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34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34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34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5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36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37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37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37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37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8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15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16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16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16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16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7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18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19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119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19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19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20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69" zoomScaleNormal="100" workbookViewId="0">
      <selection activeCell="M20" sqref="M2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3" t="s">
        <v>0</v>
      </c>
      <c r="B1" s="74"/>
      <c r="C1" s="74"/>
      <c r="D1" s="74"/>
      <c r="E1" s="74"/>
      <c r="F1" s="74"/>
      <c r="G1" s="74"/>
      <c r="H1" s="75"/>
    </row>
    <row r="2" spans="1:12" ht="16.2" thickBot="1" x14ac:dyDescent="0.35">
      <c r="A2" s="76"/>
      <c r="B2" s="77"/>
      <c r="C2" s="77"/>
      <c r="D2" s="77"/>
      <c r="E2" s="77"/>
      <c r="F2" s="77"/>
      <c r="G2" s="77"/>
      <c r="H2" s="78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0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20</v>
      </c>
    </row>
    <row r="5" spans="1:12" ht="16.2" thickBot="1" x14ac:dyDescent="0.35">
      <c r="A5" s="101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1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1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1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2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3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4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4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04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4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5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6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7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7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7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7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8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9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0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0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10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0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1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2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3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3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3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3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4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2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3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3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3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3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4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5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6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64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86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6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6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7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8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9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9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9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9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0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1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2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2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92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92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3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4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5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5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5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5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6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7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8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8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8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8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9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9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0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80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0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0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1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topLeftCell="A17" zoomScaleNormal="100" workbookViewId="0">
      <selection activeCell="L25" sqref="L25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3" t="s">
        <v>0</v>
      </c>
      <c r="B1" s="74"/>
      <c r="C1" s="74"/>
      <c r="D1" s="74"/>
      <c r="E1" s="74"/>
      <c r="F1" s="74"/>
      <c r="G1" s="74"/>
      <c r="H1" s="75"/>
    </row>
    <row r="2" spans="1:12" ht="16.2" thickBot="1" x14ac:dyDescent="0.35">
      <c r="A2" s="76"/>
      <c r="B2" s="77"/>
      <c r="C2" s="77"/>
      <c r="D2" s="77"/>
      <c r="E2" s="77"/>
      <c r="F2" s="77"/>
      <c r="G2" s="77"/>
      <c r="H2" s="78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0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18</v>
      </c>
    </row>
    <row r="5" spans="1:12" ht="16.2" thickBot="1" x14ac:dyDescent="0.35">
      <c r="A5" s="101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1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1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1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2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3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4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4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104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4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5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6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7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7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07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7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8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9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0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0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0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0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1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2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3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3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3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3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4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2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3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3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3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3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4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5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6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6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6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6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7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8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9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9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9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9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0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1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92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2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92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92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3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4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5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5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5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5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6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7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8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8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8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8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9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9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0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80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0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0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1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topLeftCell="A87" zoomScaleNormal="100" workbookViewId="0">
      <selection activeCell="L99" sqref="L99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3" t="s">
        <v>0</v>
      </c>
      <c r="B1" s="74"/>
      <c r="C1" s="74"/>
      <c r="D1" s="74"/>
      <c r="E1" s="74"/>
      <c r="F1" s="74"/>
      <c r="G1" s="74"/>
      <c r="H1" s="75"/>
    </row>
    <row r="2" spans="1:12" ht="16.2" thickBot="1" x14ac:dyDescent="0.35">
      <c r="A2" s="76"/>
      <c r="B2" s="77"/>
      <c r="C2" s="77"/>
      <c r="D2" s="77"/>
      <c r="E2" s="77"/>
      <c r="F2" s="77"/>
      <c r="G2" s="77"/>
      <c r="H2" s="78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0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21</v>
      </c>
    </row>
    <row r="5" spans="1:12" ht="16.2" thickBot="1" x14ac:dyDescent="0.35">
      <c r="A5" s="101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1"/>
      <c r="B6" s="7">
        <v>46191</v>
      </c>
      <c r="C6" s="8">
        <v>0.75</v>
      </c>
      <c r="D6" s="9" t="s">
        <v>13</v>
      </c>
      <c r="E6" s="10" t="s">
        <v>12</v>
      </c>
      <c r="F6" s="66">
        <v>3</v>
      </c>
      <c r="G6" s="66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1"/>
      <c r="B7" s="7">
        <v>46192</v>
      </c>
      <c r="C7" s="8">
        <v>0.125</v>
      </c>
      <c r="D7" s="9" t="s">
        <v>13</v>
      </c>
      <c r="E7" s="10" t="s">
        <v>9</v>
      </c>
      <c r="F7" s="66">
        <v>1</v>
      </c>
      <c r="G7" s="66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1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2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3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4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4"/>
      <c r="B14" s="7">
        <v>46191</v>
      </c>
      <c r="C14" s="8">
        <v>0.875</v>
      </c>
      <c r="D14" s="9" t="s">
        <v>13</v>
      </c>
      <c r="E14" s="10" t="s">
        <v>19</v>
      </c>
      <c r="F14" s="66">
        <v>1</v>
      </c>
      <c r="G14" s="66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04"/>
      <c r="B15" s="7">
        <v>46192</v>
      </c>
      <c r="C15" s="8">
        <v>0</v>
      </c>
      <c r="D15" s="9" t="s">
        <v>13</v>
      </c>
      <c r="E15" s="10" t="s">
        <v>16</v>
      </c>
      <c r="F15" s="66">
        <v>2</v>
      </c>
      <c r="G15" s="66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4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5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6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7"/>
      <c r="B21" s="7">
        <v>46187</v>
      </c>
      <c r="C21" s="8">
        <v>0.125</v>
      </c>
      <c r="D21" s="9" t="s">
        <v>8</v>
      </c>
      <c r="E21" s="10" t="s">
        <v>23</v>
      </c>
      <c r="F21" s="62">
        <v>1</v>
      </c>
      <c r="G21" s="62">
        <v>3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7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7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07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8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9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0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0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10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0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1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2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3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3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3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3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4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2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83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3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3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3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4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5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6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6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6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6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7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8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9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9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9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9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0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1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92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2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92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92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3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4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5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5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5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5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6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7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8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8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8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8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9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9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0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80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0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0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1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zoomScaleNormal="100" workbookViewId="0">
      <selection activeCell="M8" sqref="M8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3" t="s">
        <v>0</v>
      </c>
      <c r="B1" s="74"/>
      <c r="C1" s="74"/>
      <c r="D1" s="74"/>
      <c r="E1" s="74"/>
      <c r="F1" s="74"/>
      <c r="G1" s="74"/>
      <c r="H1" s="75"/>
    </row>
    <row r="2" spans="1:12" ht="16.2" thickBot="1" x14ac:dyDescent="0.35">
      <c r="A2" s="76"/>
      <c r="B2" s="77"/>
      <c r="C2" s="77"/>
      <c r="D2" s="77"/>
      <c r="E2" s="77"/>
      <c r="F2" s="77"/>
      <c r="G2" s="77"/>
      <c r="H2" s="78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0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14</v>
      </c>
    </row>
    <row r="5" spans="1:12" ht="16.2" thickBot="1" x14ac:dyDescent="0.35">
      <c r="A5" s="101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1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1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01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2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3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4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4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104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4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5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6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7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7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7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7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8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9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0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0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0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0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1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2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3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3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3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3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4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2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65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83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83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3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3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4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5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6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6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6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6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7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8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9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9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9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9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0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1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2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92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92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92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3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4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5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5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5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5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6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7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8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8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8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8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9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9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0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80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0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0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1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zoomScaleNormal="100" workbookViewId="0">
      <selection activeCell="L29" sqref="L29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3" t="s">
        <v>0</v>
      </c>
      <c r="B1" s="74"/>
      <c r="C1" s="74"/>
      <c r="D1" s="74"/>
      <c r="E1" s="74"/>
      <c r="F1" s="74"/>
      <c r="G1" s="74"/>
      <c r="H1" s="75"/>
    </row>
    <row r="2" spans="1:12" ht="16.2" thickBot="1" x14ac:dyDescent="0.35">
      <c r="A2" s="76"/>
      <c r="B2" s="77"/>
      <c r="C2" s="77"/>
      <c r="D2" s="77"/>
      <c r="E2" s="77"/>
      <c r="F2" s="77"/>
      <c r="G2" s="77"/>
      <c r="H2" s="78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0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22</v>
      </c>
    </row>
    <row r="5" spans="1:12" ht="16.2" thickBot="1" x14ac:dyDescent="0.35">
      <c r="A5" s="101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1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64">
        <f>IF(OR(Resultados!F6="",Resultados!G6=""),"",IF(AND(F6=Resultados!F6,G6=Resultados!G6),2,IF(((F6&gt;G6)=(Resultados!F6&gt;Resultados!G6))*((F6&lt;G6)=(Resultados!F6&lt;Resultados!G6)),1,0)))</f>
        <v>2</v>
      </c>
    </row>
    <row r="7" spans="1:12" ht="16.2" thickBot="1" x14ac:dyDescent="0.35">
      <c r="A7" s="101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01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2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3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4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4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04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04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5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6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7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7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7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7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8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9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0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10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0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65">
        <f>IF(OR(Resultados!F31="",Resultados!G31=""),"",IF(AND(F31=Resultados!F31,G31=Resultados!G31),2,IF(((F31&gt;G31)=(Resultados!F31&gt;Resultados!G31))*((F31&lt;G31)=(Resultados!F31&lt;Resultados!G31)),1,0)))</f>
        <v>1</v>
      </c>
    </row>
    <row r="32" spans="1:10" ht="16.2" thickBot="1" x14ac:dyDescent="0.35">
      <c r="A32" s="110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1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2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3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3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3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3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4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2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3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3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3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3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4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5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6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6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6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6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7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8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9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9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9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9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0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1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2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2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92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92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3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4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5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5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5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5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6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7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8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8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8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8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9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9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0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80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0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0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1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zoomScaleNormal="100" workbookViewId="0">
      <selection activeCell="M29" sqref="M29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3" t="s">
        <v>0</v>
      </c>
      <c r="B1" s="74"/>
      <c r="C1" s="74"/>
      <c r="D1" s="74"/>
      <c r="E1" s="74"/>
      <c r="F1" s="74"/>
      <c r="G1" s="74"/>
      <c r="H1" s="75"/>
    </row>
    <row r="2" spans="1:12" ht="16.2" thickBot="1" x14ac:dyDescent="0.35">
      <c r="A2" s="76"/>
      <c r="B2" s="77"/>
      <c r="C2" s="77"/>
      <c r="D2" s="77"/>
      <c r="E2" s="77"/>
      <c r="F2" s="77"/>
      <c r="G2" s="77"/>
      <c r="H2" s="78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0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16</v>
      </c>
    </row>
    <row r="5" spans="1:12" ht="16.2" thickBot="1" x14ac:dyDescent="0.35">
      <c r="A5" s="101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1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1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1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2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3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4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4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104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104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5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6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7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7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7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7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8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9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0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0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10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0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1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2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3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3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3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3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4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2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83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3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3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3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4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5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6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6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6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6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7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8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9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9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9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9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0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1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2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2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92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92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3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4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5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5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5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5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6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7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8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8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8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8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9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9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80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80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0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0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1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topLeftCell="A81" zoomScaleNormal="100" workbookViewId="0">
      <selection activeCell="J30" sqref="J3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3" t="s">
        <v>0</v>
      </c>
      <c r="B1" s="74"/>
      <c r="C1" s="74"/>
      <c r="D1" s="74"/>
      <c r="E1" s="74"/>
      <c r="F1" s="74"/>
      <c r="G1" s="74"/>
      <c r="H1" s="75"/>
    </row>
    <row r="2" spans="1:12" ht="16.2" thickBot="1" x14ac:dyDescent="0.35">
      <c r="A2" s="76"/>
      <c r="B2" s="77"/>
      <c r="C2" s="77"/>
      <c r="D2" s="77"/>
      <c r="E2" s="77"/>
      <c r="F2" s="77"/>
      <c r="G2" s="77"/>
      <c r="H2" s="78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100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15</v>
      </c>
    </row>
    <row r="5" spans="1:12" ht="16.2" thickBot="1" x14ac:dyDescent="0.35">
      <c r="A5" s="101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101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01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101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02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3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4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4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104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104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5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6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7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7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7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7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8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9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10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0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0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0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1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12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3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3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3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3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4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82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3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83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3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3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4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5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6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6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6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6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7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8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9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9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9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9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90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91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92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92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92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92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3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4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5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5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5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5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6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7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8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8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8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8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9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9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0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80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0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0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1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2026-06-20T14:37:26Z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